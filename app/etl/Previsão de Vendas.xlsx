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phillipe.silva\Documents\Nexus\app\etl\"/>
    </mc:Choice>
  </mc:AlternateContent>
  <xr:revisionPtr revIDLastSave="0" documentId="13_ncr:1_{B6423526-8DE6-4B77-95F7-7B14633B4429}" xr6:coauthVersionLast="47" xr6:coauthVersionMax="47" xr10:uidLastSave="{00000000-0000-0000-0000-000000000000}"/>
  <bookViews>
    <workbookView xWindow="-108" yWindow="-108" windowWidth="23256" windowHeight="12456" tabRatio="601" xr2:uid="{00000000-000D-0000-FFFF-FFFF00000000}"/>
  </bookViews>
  <sheets>
    <sheet name="Previsão CX" sheetId="4" r:id="rId1"/>
    <sheet name="Conversão" sheetId="8" state="hidden" r:id="rId2"/>
    <sheet name="Cadastro" sheetId="5" state="hidden" r:id="rId3"/>
    <sheet name="PMV" sheetId="7" state="hidden" r:id="rId4"/>
  </sheets>
  <externalReferences>
    <externalReference r:id="rId5"/>
  </externalReferences>
  <definedNames>
    <definedName name="DadosExternos_1" localSheetId="2" hidden="1">Cadastro!$A$1:$I$492</definedName>
    <definedName name="DadosExternos_1" localSheetId="3" hidden="1">PMV!$A$1:$E$153</definedName>
    <definedName name="_xlnm.Print_Titles" localSheetId="0">'Previsão CX'!$1:$1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egmentos_938d1689-4d8d-4889-9a26-5cb097e509e9" name="Segmentos" connection="Consulta - Segmentos"/>
          <x15:modelTable id="Pendencia Func_86725c33-ac2d-4045-96dd-7376e769c0f1" name="Pendencia Func" connection="Consulta - Pendencia Func"/>
        </x15:modelTables>
      </x15:dataModel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F227" i="4"/>
  <c r="F206" i="4"/>
  <c r="P3" i="8" l="1"/>
  <c r="Q3" i="8" s="1"/>
  <c r="P4" i="8"/>
  <c r="Q4" i="8" s="1"/>
  <c r="P5" i="8"/>
  <c r="Q5" i="8" s="1"/>
  <c r="P6" i="8"/>
  <c r="Q6" i="8" s="1"/>
  <c r="P7" i="8"/>
  <c r="Q7" i="8" s="1"/>
  <c r="P8" i="8"/>
  <c r="Q8" i="8" s="1"/>
  <c r="P9" i="8"/>
  <c r="Q9" i="8" s="1"/>
  <c r="P10" i="8"/>
  <c r="Q10" i="8" s="1"/>
  <c r="P11" i="8"/>
  <c r="Q11" i="8" s="1"/>
  <c r="P12" i="8"/>
  <c r="Q12" i="8" s="1"/>
  <c r="P13" i="8"/>
  <c r="Q13" i="8" s="1"/>
  <c r="P14" i="8"/>
  <c r="Q14" i="8" s="1"/>
  <c r="P15" i="8"/>
  <c r="Q15" i="8" s="1"/>
  <c r="P16" i="8"/>
  <c r="Q16" i="8" s="1"/>
  <c r="P17" i="8"/>
  <c r="Q17" i="8" s="1"/>
  <c r="P18" i="8"/>
  <c r="Q18" i="8" s="1"/>
  <c r="P19" i="8"/>
  <c r="Q19" i="8" s="1"/>
  <c r="P20" i="8"/>
  <c r="Q20" i="8" s="1"/>
  <c r="P21" i="8"/>
  <c r="Q21" i="8" s="1"/>
  <c r="P22" i="8"/>
  <c r="Q22" i="8" s="1"/>
  <c r="P23" i="8"/>
  <c r="Q23" i="8" s="1"/>
  <c r="P24" i="8"/>
  <c r="Q24" i="8" s="1"/>
  <c r="P25" i="8"/>
  <c r="Q25" i="8" s="1"/>
  <c r="P26" i="8"/>
  <c r="Q26" i="8" s="1"/>
  <c r="P27" i="8"/>
  <c r="Q27" i="8" s="1"/>
  <c r="P28" i="8"/>
  <c r="Q28" i="8" s="1"/>
  <c r="P29" i="8"/>
  <c r="Q29" i="8" s="1"/>
  <c r="P30" i="8"/>
  <c r="Q30" i="8" s="1"/>
  <c r="P31" i="8"/>
  <c r="Q31" i="8" s="1"/>
  <c r="P32" i="8"/>
  <c r="Q32" i="8" s="1"/>
  <c r="P33" i="8"/>
  <c r="Q33" i="8" s="1"/>
  <c r="P34" i="8"/>
  <c r="Q34" i="8" s="1"/>
  <c r="P35" i="8"/>
  <c r="Q35" i="8" s="1"/>
  <c r="P36" i="8"/>
  <c r="Q36" i="8" s="1"/>
  <c r="P37" i="8"/>
  <c r="Q37" i="8" s="1"/>
  <c r="P38" i="8"/>
  <c r="Q38" i="8" s="1"/>
  <c r="P39" i="8"/>
  <c r="Q39" i="8" s="1"/>
  <c r="P40" i="8"/>
  <c r="Q40" i="8" s="1"/>
  <c r="P41" i="8"/>
  <c r="Q41" i="8" s="1"/>
  <c r="P42" i="8"/>
  <c r="Q42" i="8" s="1"/>
  <c r="P43" i="8"/>
  <c r="Q43" i="8" s="1"/>
  <c r="P44" i="8"/>
  <c r="Q44" i="8" s="1"/>
  <c r="P45" i="8"/>
  <c r="Q45" i="8" s="1"/>
  <c r="P46" i="8"/>
  <c r="Q46" i="8" s="1"/>
  <c r="P47" i="8"/>
  <c r="Q47" i="8" s="1"/>
  <c r="P48" i="8"/>
  <c r="Q48" i="8" s="1"/>
  <c r="P49" i="8"/>
  <c r="Q49" i="8" s="1"/>
  <c r="P50" i="8"/>
  <c r="Q50" i="8" s="1"/>
  <c r="P51" i="8"/>
  <c r="Q51" i="8" s="1"/>
  <c r="P52" i="8"/>
  <c r="Q52" i="8" s="1"/>
  <c r="P53" i="8"/>
  <c r="Q53" i="8" s="1"/>
  <c r="P54" i="8"/>
  <c r="Q54" i="8" s="1"/>
  <c r="P55" i="8"/>
  <c r="Q55" i="8" s="1"/>
  <c r="P56" i="8"/>
  <c r="Q56" i="8" s="1"/>
  <c r="P57" i="8"/>
  <c r="Q57" i="8" s="1"/>
  <c r="P58" i="8"/>
  <c r="Q58" i="8" s="1"/>
  <c r="P59" i="8"/>
  <c r="Q59" i="8" s="1"/>
  <c r="P60" i="8"/>
  <c r="Q60" i="8" s="1"/>
  <c r="P61" i="8"/>
  <c r="Q61" i="8" s="1"/>
  <c r="P62" i="8"/>
  <c r="Q62" i="8" s="1"/>
  <c r="P63" i="8"/>
  <c r="Q63" i="8" s="1"/>
  <c r="P64" i="8"/>
  <c r="Q64" i="8" s="1"/>
  <c r="P65" i="8"/>
  <c r="Q65" i="8" s="1"/>
  <c r="P66" i="8"/>
  <c r="Q66" i="8" s="1"/>
  <c r="P67" i="8"/>
  <c r="Q67" i="8" s="1"/>
  <c r="P68" i="8"/>
  <c r="Q68" i="8" s="1"/>
  <c r="P69" i="8"/>
  <c r="Q69" i="8" s="1"/>
  <c r="P70" i="8"/>
  <c r="Q70" i="8" s="1"/>
  <c r="P71" i="8"/>
  <c r="Q71" i="8" s="1"/>
  <c r="P72" i="8"/>
  <c r="Q72" i="8" s="1"/>
  <c r="P73" i="8"/>
  <c r="Q73" i="8" s="1"/>
  <c r="P74" i="8"/>
  <c r="Q74" i="8" s="1"/>
  <c r="P75" i="8"/>
  <c r="Q75" i="8" s="1"/>
  <c r="P76" i="8"/>
  <c r="Q76" i="8" s="1"/>
  <c r="P77" i="8"/>
  <c r="Q77" i="8" s="1"/>
  <c r="P78" i="8"/>
  <c r="Q78" i="8" s="1"/>
  <c r="P79" i="8"/>
  <c r="Q79" i="8" s="1"/>
  <c r="P80" i="8"/>
  <c r="Q80" i="8" s="1"/>
  <c r="P81" i="8"/>
  <c r="Q81" i="8" s="1"/>
  <c r="P82" i="8"/>
  <c r="Q82" i="8" s="1"/>
  <c r="P83" i="8"/>
  <c r="Q83" i="8" s="1"/>
  <c r="P84" i="8"/>
  <c r="Q84" i="8" s="1"/>
  <c r="P85" i="8"/>
  <c r="Q85" i="8" s="1"/>
  <c r="P86" i="8"/>
  <c r="Q86" i="8" s="1"/>
  <c r="P87" i="8"/>
  <c r="Q87" i="8" s="1"/>
  <c r="P88" i="8"/>
  <c r="Q88" i="8" s="1"/>
  <c r="P89" i="8"/>
  <c r="Q89" i="8" s="1"/>
  <c r="P90" i="8"/>
  <c r="Q90" i="8" s="1"/>
  <c r="P91" i="8"/>
  <c r="Q91" i="8" s="1"/>
  <c r="P92" i="8"/>
  <c r="Q92" i="8" s="1"/>
  <c r="P93" i="8"/>
  <c r="Q93" i="8" s="1"/>
  <c r="P94" i="8"/>
  <c r="Q94" i="8" s="1"/>
  <c r="P95" i="8"/>
  <c r="Q95" i="8" s="1"/>
  <c r="P96" i="8"/>
  <c r="Q96" i="8" s="1"/>
  <c r="P97" i="8"/>
  <c r="Q97" i="8" s="1"/>
  <c r="P98" i="8"/>
  <c r="Q98" i="8" s="1"/>
  <c r="P99" i="8"/>
  <c r="Q99" i="8" s="1"/>
  <c r="P100" i="8"/>
  <c r="Q100" i="8" s="1"/>
  <c r="P101" i="8"/>
  <c r="Q101" i="8" s="1"/>
  <c r="P102" i="8"/>
  <c r="Q102" i="8" s="1"/>
  <c r="P103" i="8"/>
  <c r="Q103" i="8" s="1"/>
  <c r="P104" i="8"/>
  <c r="Q104" i="8" s="1"/>
  <c r="P105" i="8"/>
  <c r="Q105" i="8" s="1"/>
  <c r="P106" i="8"/>
  <c r="Q106" i="8" s="1"/>
  <c r="P107" i="8"/>
  <c r="Q107" i="8" s="1"/>
  <c r="P108" i="8"/>
  <c r="Q108" i="8" s="1"/>
  <c r="P109" i="8"/>
  <c r="Q109" i="8" s="1"/>
  <c r="P110" i="8"/>
  <c r="Q110" i="8" s="1"/>
  <c r="P111" i="8"/>
  <c r="Q111" i="8" s="1"/>
  <c r="P112" i="8"/>
  <c r="Q112" i="8" s="1"/>
  <c r="P113" i="8"/>
  <c r="Q113" i="8" s="1"/>
  <c r="P114" i="8"/>
  <c r="Q114" i="8" s="1"/>
  <c r="P115" i="8"/>
  <c r="Q115" i="8" s="1"/>
  <c r="P116" i="8"/>
  <c r="Q116" i="8" s="1"/>
  <c r="P117" i="8"/>
  <c r="Q117" i="8" s="1"/>
  <c r="P118" i="8"/>
  <c r="Q118" i="8" s="1"/>
  <c r="P119" i="8"/>
  <c r="Q119" i="8" s="1"/>
  <c r="P120" i="8"/>
  <c r="Q120" i="8" s="1"/>
  <c r="P121" i="8"/>
  <c r="Q121" i="8" s="1"/>
  <c r="P122" i="8"/>
  <c r="Q122" i="8" s="1"/>
  <c r="P123" i="8"/>
  <c r="Q123" i="8" s="1"/>
  <c r="P124" i="8"/>
  <c r="Q124" i="8" s="1"/>
  <c r="P125" i="8"/>
  <c r="Q125" i="8" s="1"/>
  <c r="P126" i="8"/>
  <c r="Q126" i="8" s="1"/>
  <c r="P127" i="8"/>
  <c r="Q127" i="8" s="1"/>
  <c r="P128" i="8"/>
  <c r="Q128" i="8" s="1"/>
  <c r="P129" i="8"/>
  <c r="Q129" i="8" s="1"/>
  <c r="P130" i="8"/>
  <c r="Q130" i="8" s="1"/>
  <c r="P131" i="8"/>
  <c r="Q131" i="8" s="1"/>
  <c r="P132" i="8"/>
  <c r="Q132" i="8" s="1"/>
  <c r="P133" i="8"/>
  <c r="Q133" i="8" s="1"/>
  <c r="P134" i="8"/>
  <c r="Q134" i="8" s="1"/>
  <c r="P135" i="8"/>
  <c r="Q135" i="8" s="1"/>
  <c r="P136" i="8"/>
  <c r="Q136" i="8" s="1"/>
  <c r="P137" i="8"/>
  <c r="Q137" i="8" s="1"/>
  <c r="P138" i="8"/>
  <c r="Q138" i="8" s="1"/>
  <c r="P139" i="8"/>
  <c r="Q139" i="8" s="1"/>
  <c r="P140" i="8"/>
  <c r="Q140" i="8" s="1"/>
  <c r="P141" i="8"/>
  <c r="Q141" i="8" s="1"/>
  <c r="P142" i="8"/>
  <c r="Q142" i="8" s="1"/>
  <c r="P143" i="8"/>
  <c r="Q143" i="8" s="1"/>
  <c r="P144" i="8"/>
  <c r="Q144" i="8" s="1"/>
  <c r="P145" i="8"/>
  <c r="Q145" i="8" s="1"/>
  <c r="P146" i="8"/>
  <c r="Q146" i="8" s="1"/>
  <c r="P147" i="8"/>
  <c r="Q147" i="8" s="1"/>
  <c r="P148" i="8"/>
  <c r="Q148" i="8" s="1"/>
  <c r="P149" i="8"/>
  <c r="Q149" i="8" s="1"/>
  <c r="P150" i="8"/>
  <c r="Q150" i="8" s="1"/>
  <c r="P151" i="8"/>
  <c r="Q151" i="8" s="1"/>
  <c r="P152" i="8"/>
  <c r="Q152" i="8" s="1"/>
  <c r="P153" i="8"/>
  <c r="Q153" i="8" s="1"/>
  <c r="P154" i="8"/>
  <c r="Q154" i="8" s="1"/>
  <c r="P155" i="8"/>
  <c r="Q155" i="8" s="1"/>
  <c r="P156" i="8"/>
  <c r="Q156" i="8" s="1"/>
  <c r="P157" i="8"/>
  <c r="Q157" i="8" s="1"/>
  <c r="P158" i="8"/>
  <c r="Q158" i="8" s="1"/>
  <c r="P2" i="8"/>
  <c r="S3" i="8" s="1"/>
  <c r="R157" i="8" l="1"/>
  <c r="R149" i="8"/>
  <c r="R141" i="8"/>
  <c r="R133" i="8"/>
  <c r="R125" i="8"/>
  <c r="R117" i="8"/>
  <c r="R109" i="8"/>
  <c r="R101" i="8"/>
  <c r="R93" i="8"/>
  <c r="R85" i="8"/>
  <c r="R77" i="8"/>
  <c r="R69" i="8"/>
  <c r="R61" i="8"/>
  <c r="R53" i="8"/>
  <c r="R45" i="8"/>
  <c r="R37" i="8"/>
  <c r="R29" i="8"/>
  <c r="R21" i="8"/>
  <c r="R13" i="8"/>
  <c r="R5" i="8"/>
  <c r="S154" i="8"/>
  <c r="S146" i="8"/>
  <c r="S138" i="8"/>
  <c r="S130" i="8"/>
  <c r="S122" i="8"/>
  <c r="S114" i="8"/>
  <c r="S106" i="8"/>
  <c r="S98" i="8"/>
  <c r="S90" i="8"/>
  <c r="S82" i="8"/>
  <c r="S74" i="8"/>
  <c r="S66" i="8"/>
  <c r="S58" i="8"/>
  <c r="S50" i="8"/>
  <c r="S42" i="8"/>
  <c r="S34" i="8"/>
  <c r="S26" i="8"/>
  <c r="S18" i="8"/>
  <c r="S10" i="8"/>
  <c r="Q2" i="8"/>
  <c r="R156" i="8"/>
  <c r="R148" i="8"/>
  <c r="R140" i="8"/>
  <c r="R132" i="8"/>
  <c r="R124" i="8"/>
  <c r="R116" i="8"/>
  <c r="R108" i="8"/>
  <c r="R100" i="8"/>
  <c r="R92" i="8"/>
  <c r="R84" i="8"/>
  <c r="R76" i="8"/>
  <c r="R68" i="8"/>
  <c r="R60" i="8"/>
  <c r="R52" i="8"/>
  <c r="R44" i="8"/>
  <c r="R36" i="8"/>
  <c r="R28" i="8"/>
  <c r="R20" i="8"/>
  <c r="R12" i="8"/>
  <c r="R4" i="8"/>
  <c r="S153" i="8"/>
  <c r="S145" i="8"/>
  <c r="S137" i="8"/>
  <c r="S129" i="8"/>
  <c r="S121" i="8"/>
  <c r="S113" i="8"/>
  <c r="S105" i="8"/>
  <c r="S97" i="8"/>
  <c r="S89" i="8"/>
  <c r="S81" i="8"/>
  <c r="S73" i="8"/>
  <c r="S65" i="8"/>
  <c r="S57" i="8"/>
  <c r="S49" i="8"/>
  <c r="S41" i="8"/>
  <c r="S33" i="8"/>
  <c r="S25" i="8"/>
  <c r="S17" i="8"/>
  <c r="S9" i="8"/>
  <c r="R155" i="8"/>
  <c r="R147" i="8"/>
  <c r="R139" i="8"/>
  <c r="R131" i="8"/>
  <c r="R123" i="8"/>
  <c r="R115" i="8"/>
  <c r="R107" i="8"/>
  <c r="R99" i="8"/>
  <c r="R91" i="8"/>
  <c r="R83" i="8"/>
  <c r="R75" i="8"/>
  <c r="R67" i="8"/>
  <c r="R59" i="8"/>
  <c r="R51" i="8"/>
  <c r="R43" i="8"/>
  <c r="R35" i="8"/>
  <c r="R27" i="8"/>
  <c r="R19" i="8"/>
  <c r="R11" i="8"/>
  <c r="R3" i="8"/>
  <c r="S152" i="8"/>
  <c r="S144" i="8"/>
  <c r="S136" i="8"/>
  <c r="S128" i="8"/>
  <c r="S120" i="8"/>
  <c r="S112" i="8"/>
  <c r="S104" i="8"/>
  <c r="S96" i="8"/>
  <c r="S88" i="8"/>
  <c r="S80" i="8"/>
  <c r="S72" i="8"/>
  <c r="S64" i="8"/>
  <c r="S56" i="8"/>
  <c r="S48" i="8"/>
  <c r="S40" i="8"/>
  <c r="S32" i="8"/>
  <c r="S24" i="8"/>
  <c r="S16" i="8"/>
  <c r="S8" i="8"/>
  <c r="R154" i="8"/>
  <c r="R146" i="8"/>
  <c r="R138" i="8"/>
  <c r="R130" i="8"/>
  <c r="R122" i="8"/>
  <c r="R114" i="8"/>
  <c r="R106" i="8"/>
  <c r="R98" i="8"/>
  <c r="R90" i="8"/>
  <c r="R82" i="8"/>
  <c r="R74" i="8"/>
  <c r="R66" i="8"/>
  <c r="R58" i="8"/>
  <c r="R50" i="8"/>
  <c r="R42" i="8"/>
  <c r="R34" i="8"/>
  <c r="R26" i="8"/>
  <c r="R18" i="8"/>
  <c r="R10" i="8"/>
  <c r="S2" i="8"/>
  <c r="S151" i="8"/>
  <c r="S143" i="8"/>
  <c r="S135" i="8"/>
  <c r="S127" i="8"/>
  <c r="S119" i="8"/>
  <c r="S111" i="8"/>
  <c r="S103" i="8"/>
  <c r="S95" i="8"/>
  <c r="S87" i="8"/>
  <c r="S79" i="8"/>
  <c r="S71" i="8"/>
  <c r="S63" i="8"/>
  <c r="S55" i="8"/>
  <c r="S47" i="8"/>
  <c r="S39" i="8"/>
  <c r="S31" i="8"/>
  <c r="S23" i="8"/>
  <c r="S15" i="8"/>
  <c r="S7" i="8"/>
  <c r="R153" i="8"/>
  <c r="R145" i="8"/>
  <c r="R137" i="8"/>
  <c r="R129" i="8"/>
  <c r="R121" i="8"/>
  <c r="R113" i="8"/>
  <c r="R105" i="8"/>
  <c r="R97" i="8"/>
  <c r="R89" i="8"/>
  <c r="R81" i="8"/>
  <c r="R73" i="8"/>
  <c r="R65" i="8"/>
  <c r="R57" i="8"/>
  <c r="R49" i="8"/>
  <c r="R41" i="8"/>
  <c r="R33" i="8"/>
  <c r="R25" i="8"/>
  <c r="R17" i="8"/>
  <c r="R9" i="8"/>
  <c r="S158" i="8"/>
  <c r="S150" i="8"/>
  <c r="S142" i="8"/>
  <c r="S134" i="8"/>
  <c r="S126" i="8"/>
  <c r="S118" i="8"/>
  <c r="S110" i="8"/>
  <c r="S102" i="8"/>
  <c r="S94" i="8"/>
  <c r="S86" i="8"/>
  <c r="S78" i="8"/>
  <c r="S70" i="8"/>
  <c r="S62" i="8"/>
  <c r="S54" i="8"/>
  <c r="S46" i="8"/>
  <c r="S38" i="8"/>
  <c r="S30" i="8"/>
  <c r="S22" i="8"/>
  <c r="S14" i="8"/>
  <c r="S6" i="8"/>
  <c r="R152" i="8"/>
  <c r="R144" i="8"/>
  <c r="R136" i="8"/>
  <c r="R128" i="8"/>
  <c r="R120" i="8"/>
  <c r="R112" i="8"/>
  <c r="R104" i="8"/>
  <c r="R96" i="8"/>
  <c r="R88" i="8"/>
  <c r="R80" i="8"/>
  <c r="R72" i="8"/>
  <c r="R64" i="8"/>
  <c r="R56" i="8"/>
  <c r="R48" i="8"/>
  <c r="R40" i="8"/>
  <c r="R32" i="8"/>
  <c r="R24" i="8"/>
  <c r="R16" i="8"/>
  <c r="R8" i="8"/>
  <c r="S157" i="8"/>
  <c r="S149" i="8"/>
  <c r="S141" i="8"/>
  <c r="S133" i="8"/>
  <c r="S125" i="8"/>
  <c r="S117" i="8"/>
  <c r="S109" i="8"/>
  <c r="S101" i="8"/>
  <c r="S93" i="8"/>
  <c r="S85" i="8"/>
  <c r="S77" i="8"/>
  <c r="S69" i="8"/>
  <c r="S61" i="8"/>
  <c r="S53" i="8"/>
  <c r="S45" i="8"/>
  <c r="S37" i="8"/>
  <c r="S29" i="8"/>
  <c r="S21" i="8"/>
  <c r="S13" i="8"/>
  <c r="S5" i="8"/>
  <c r="R2" i="8"/>
  <c r="R151" i="8"/>
  <c r="R143" i="8"/>
  <c r="R135" i="8"/>
  <c r="R127" i="8"/>
  <c r="R119" i="8"/>
  <c r="R111" i="8"/>
  <c r="R103" i="8"/>
  <c r="R95" i="8"/>
  <c r="R87" i="8"/>
  <c r="R79" i="8"/>
  <c r="R71" i="8"/>
  <c r="R63" i="8"/>
  <c r="R55" i="8"/>
  <c r="R47" i="8"/>
  <c r="R39" i="8"/>
  <c r="R31" i="8"/>
  <c r="R23" i="8"/>
  <c r="R15" i="8"/>
  <c r="R7" i="8"/>
  <c r="S156" i="8"/>
  <c r="S148" i="8"/>
  <c r="S140" i="8"/>
  <c r="S132" i="8"/>
  <c r="S124" i="8"/>
  <c r="S116" i="8"/>
  <c r="S108" i="8"/>
  <c r="S100" i="8"/>
  <c r="S92" i="8"/>
  <c r="S84" i="8"/>
  <c r="S76" i="8"/>
  <c r="S68" i="8"/>
  <c r="S60" i="8"/>
  <c r="S52" i="8"/>
  <c r="S44" i="8"/>
  <c r="S36" i="8"/>
  <c r="S28" i="8"/>
  <c r="S20" i="8"/>
  <c r="S12" i="8"/>
  <c r="S4" i="8"/>
  <c r="R158" i="8"/>
  <c r="R150" i="8"/>
  <c r="R142" i="8"/>
  <c r="R134" i="8"/>
  <c r="R126" i="8"/>
  <c r="R118" i="8"/>
  <c r="R110" i="8"/>
  <c r="R102" i="8"/>
  <c r="R94" i="8"/>
  <c r="R86" i="8"/>
  <c r="R78" i="8"/>
  <c r="R70" i="8"/>
  <c r="R62" i="8"/>
  <c r="R54" i="8"/>
  <c r="R46" i="8"/>
  <c r="R38" i="8"/>
  <c r="R30" i="8"/>
  <c r="R22" i="8"/>
  <c r="R14" i="8"/>
  <c r="R6" i="8"/>
  <c r="S155" i="8"/>
  <c r="S147" i="8"/>
  <c r="S139" i="8"/>
  <c r="S131" i="8"/>
  <c r="S123" i="8"/>
  <c r="S115" i="8"/>
  <c r="S107" i="8"/>
  <c r="S99" i="8"/>
  <c r="S91" i="8"/>
  <c r="S83" i="8"/>
  <c r="S75" i="8"/>
  <c r="S67" i="8"/>
  <c r="S59" i="8"/>
  <c r="S51" i="8"/>
  <c r="S43" i="8"/>
  <c r="S35" i="8"/>
  <c r="S27" i="8"/>
  <c r="S19" i="8"/>
  <c r="S11" i="8"/>
  <c r="F57" i="4"/>
  <c r="F83" i="4"/>
  <c r="F21" i="4"/>
  <c r="F11" i="4"/>
  <c r="F98" i="4"/>
  <c r="C2" i="4" l="1"/>
  <c r="D2" i="4"/>
  <c r="E2" i="4"/>
  <c r="F200" i="4"/>
  <c r="F180" i="4"/>
  <c r="F184" i="4"/>
  <c r="F205" i="4"/>
  <c r="F2" i="4"/>
  <c r="F197" i="4"/>
  <c r="F104" i="4" l="1"/>
  <c r="F168" i="4" l="1"/>
  <c r="F111" i="4" l="1"/>
  <c r="F86" i="4"/>
  <c r="F95" i="4"/>
  <c r="F112" i="4"/>
  <c r="F85" i="4"/>
  <c r="F3" i="4"/>
  <c r="F4" i="4"/>
  <c r="F5" i="4"/>
  <c r="F6" i="4"/>
  <c r="F8" i="4"/>
  <c r="F7" i="4"/>
  <c r="F10" i="4"/>
  <c r="F9" i="4"/>
  <c r="F12" i="4"/>
  <c r="F52" i="4"/>
  <c r="F15" i="4"/>
  <c r="F13" i="4"/>
  <c r="F16" i="4"/>
  <c r="F60" i="4"/>
  <c r="F18" i="4"/>
  <c r="F17" i="4"/>
  <c r="F19" i="4"/>
  <c r="F14" i="4"/>
  <c r="F20" i="4"/>
  <c r="F23" i="4"/>
  <c r="F24" i="4"/>
  <c r="F31" i="4"/>
  <c r="F27" i="4"/>
  <c r="F32" i="4"/>
  <c r="F33" i="4"/>
  <c r="F22" i="4"/>
  <c r="F34" i="4"/>
  <c r="F30" i="4"/>
  <c r="F80" i="4"/>
  <c r="F26" i="4"/>
  <c r="F36" i="4"/>
  <c r="F28" i="4"/>
  <c r="F25" i="4"/>
  <c r="F41" i="4"/>
  <c r="F50" i="4"/>
  <c r="F37" i="4"/>
  <c r="F45" i="4"/>
  <c r="F40" i="4"/>
  <c r="F35" i="4"/>
  <c r="F48" i="4"/>
  <c r="F39" i="4"/>
  <c r="F49" i="4"/>
  <c r="F53" i="4"/>
  <c r="F54" i="4"/>
  <c r="F43" i="4"/>
  <c r="F46" i="4"/>
  <c r="F29" i="4"/>
  <c r="F38" i="4"/>
  <c r="F59" i="4"/>
  <c r="F47" i="4"/>
  <c r="F66" i="4"/>
  <c r="F42" i="4"/>
  <c r="F63" i="4"/>
  <c r="F61" i="4"/>
  <c r="F56" i="4"/>
  <c r="F51" i="4"/>
  <c r="F68" i="4"/>
  <c r="F72" i="4"/>
  <c r="F76" i="4"/>
  <c r="F170" i="4"/>
  <c r="F44" i="4"/>
  <c r="F65" i="4"/>
  <c r="F58" i="4"/>
  <c r="F64" i="4"/>
  <c r="F55" i="4"/>
  <c r="F156" i="4"/>
  <c r="F67" i="4"/>
  <c r="F169" i="4"/>
  <c r="F62" i="4"/>
  <c r="F73" i="4"/>
  <c r="F70" i="4"/>
  <c r="F71" i="4"/>
  <c r="F77" i="4"/>
  <c r="F84" i="4"/>
  <c r="F69" i="4"/>
  <c r="F146" i="4"/>
  <c r="F74" i="4"/>
  <c r="F93" i="4"/>
  <c r="F171" i="4"/>
  <c r="F147" i="4"/>
  <c r="F88" i="4"/>
  <c r="F91" i="4"/>
  <c r="F87" i="4"/>
  <c r="F155" i="4"/>
  <c r="F140" i="4"/>
  <c r="F106" i="4"/>
  <c r="F167" i="4"/>
  <c r="F215" i="4"/>
  <c r="F90" i="4"/>
  <c r="F101" i="4"/>
  <c r="F103" i="4"/>
  <c r="F81" i="4"/>
  <c r="F145" i="4"/>
  <c r="F107" i="4"/>
  <c r="F78" i="4"/>
  <c r="F92" i="4"/>
  <c r="F89" i="4"/>
  <c r="F94" i="4"/>
  <c r="F172" i="4"/>
  <c r="F218" i="4"/>
  <c r="F96" i="4"/>
  <c r="F219" i="4"/>
  <c r="F108" i="4"/>
  <c r="F97" i="4"/>
  <c r="F214" i="4"/>
  <c r="F100" i="4"/>
  <c r="F105" i="4"/>
  <c r="F82" i="4"/>
  <c r="F154" i="4"/>
  <c r="F153" i="4"/>
  <c r="F151" i="4"/>
  <c r="F99" i="4"/>
  <c r="F102" i="4"/>
  <c r="F113" i="4"/>
  <c r="F149" i="4"/>
  <c r="F152" i="4"/>
  <c r="F150" i="4"/>
  <c r="F148" i="4"/>
  <c r="F110" i="4"/>
  <c r="F141" i="4"/>
  <c r="F216" i="4"/>
  <c r="F213" i="4"/>
  <c r="F220" i="4"/>
  <c r="F212" i="4"/>
  <c r="F203" i="4"/>
  <c r="F208" i="4"/>
  <c r="F202" i="4"/>
  <c r="F198" i="4"/>
  <c r="F199" i="4"/>
  <c r="F207" i="4"/>
  <c r="F114" i="4"/>
  <c r="F144" i="4"/>
  <c r="F217" i="4"/>
  <c r="F163" i="4"/>
  <c r="F224" i="4"/>
  <c r="F223" i="4"/>
  <c r="F131" i="4"/>
  <c r="F132" i="4"/>
  <c r="F226" i="4"/>
  <c r="F225" i="4"/>
  <c r="F222" i="4"/>
  <c r="F221" i="4"/>
  <c r="F173" i="4"/>
  <c r="F135" i="4"/>
  <c r="F136" i="4"/>
  <c r="F133" i="4"/>
  <c r="F134" i="4"/>
  <c r="F166" i="4"/>
  <c r="F165" i="4"/>
  <c r="F164" i="4"/>
  <c r="F162" i="4"/>
  <c r="F161" i="4"/>
  <c r="F158" i="4"/>
  <c r="F159" i="4"/>
  <c r="F160" i="4"/>
  <c r="F201" i="4"/>
  <c r="F122" i="4"/>
  <c r="F121" i="4"/>
  <c r="F120" i="4"/>
  <c r="F137" i="4"/>
  <c r="F143" i="4"/>
  <c r="F188" i="4"/>
  <c r="F189" i="4"/>
  <c r="F175" i="4"/>
  <c r="F174" i="4"/>
  <c r="F211" i="4"/>
  <c r="F193" i="4"/>
  <c r="F209" i="4"/>
  <c r="F194" i="4"/>
  <c r="F192" i="4"/>
  <c r="F191" i="4"/>
  <c r="F190" i="4"/>
  <c r="F196" i="4"/>
  <c r="F195" i="4"/>
  <c r="F204" i="4"/>
  <c r="F210" i="4"/>
  <c r="F157" i="4"/>
  <c r="F176" i="4"/>
  <c r="F182" i="4"/>
  <c r="F186" i="4"/>
  <c r="F185" i="4"/>
  <c r="F187" i="4"/>
  <c r="F181" i="4"/>
  <c r="F178" i="4"/>
  <c r="F179" i="4"/>
  <c r="F177" i="4"/>
  <c r="F183" i="4"/>
  <c r="F142" i="4"/>
  <c r="F116" i="4"/>
  <c r="F117" i="4"/>
  <c r="F119" i="4"/>
  <c r="F115" i="4"/>
  <c r="F118" i="4"/>
  <c r="F123" i="4"/>
  <c r="F124" i="4"/>
  <c r="F125" i="4"/>
  <c r="F128" i="4"/>
  <c r="F126" i="4"/>
  <c r="F127" i="4"/>
  <c r="F138" i="4"/>
  <c r="F139" i="4"/>
  <c r="F130" i="4"/>
  <c r="F12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94C65E-5C56-459F-AC19-91F8D48453B2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C8A02649-DF11-40E5-8277-C05E81DAA4FD}" name="Consulta - Pendencia Func" description="Conexão com a consulta 'Pendencia Func' na pasta de trabalho." type="100" refreshedVersion="8" minRefreshableVersion="5">
    <extLst>
      <ext xmlns:x15="http://schemas.microsoft.com/office/spreadsheetml/2010/11/main" uri="{DE250136-89BD-433C-8126-D09CA5730AF9}">
        <x15:connection id="d28daf95-90d6-4002-8238-d6eb257ce562"/>
      </ext>
    </extLst>
  </connection>
  <connection id="3" xr16:uid="{48C1110C-FB43-4EF1-9720-2966C1B5E321}" name="Consulta - Segmentos" description="Conexão com a consulta 'Segmentos' na pasta de trabalho." type="100" refreshedVersion="8" minRefreshableVersion="5">
    <extLst>
      <ext xmlns:x15="http://schemas.microsoft.com/office/spreadsheetml/2010/11/main" uri="{DE250136-89BD-433C-8126-D09CA5730AF9}">
        <x15:connection id="cca0ff21-7cf3-4377-b970-02e17c35890b"/>
      </ext>
    </extLst>
  </connection>
  <connection id="4" xr16:uid="{D1850470-EE15-4ACF-AC48-11C2BA119AAE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388E7263-A691-4063-B1AC-467C5191E4B5}" keepAlive="1" name="ModelConnection_DadosExternos_1" description="Modelo de Dados" type="5" refreshedVersion="8" minRefreshableVersion="5" saveData="1">
    <dbPr connection="Data Model Connection" command="Segmento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CB077424-1A9D-43EE-B812-0D0199B51FB0}" keepAlive="1" name="ModelConnection_DadosExternos_11" description="Modelo de Dados" type="5" refreshedVersion="8" minRefreshableVersion="5" saveData="1">
    <dbPr connection="Data Model Connection" command="Pendencia Func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11DDDC64-5837-415C-8625-EFBF3612E64B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<sst xmlns="http://schemas.openxmlformats.org/spreadsheetml/2006/main" count="4740" uniqueCount="707">
  <si>
    <t>Código</t>
  </si>
  <si>
    <t>Descrição do Produto</t>
  </si>
  <si>
    <t>BU</t>
  </si>
  <si>
    <t>Categoria</t>
  </si>
  <si>
    <t>Segmento</t>
  </si>
  <si>
    <t>ABC</t>
  </si>
  <si>
    <t>Grupo Produto</t>
  </si>
  <si>
    <t>jan/23</t>
  </si>
  <si>
    <t>fev/23</t>
  </si>
  <si>
    <t>mar/23</t>
  </si>
  <si>
    <t>abr/23</t>
  </si>
  <si>
    <t>mai/23</t>
  </si>
  <si>
    <t>jun/23</t>
  </si>
  <si>
    <t>jul/23</t>
  </si>
  <si>
    <t>ago/23</t>
  </si>
  <si>
    <t>set/23</t>
  </si>
  <si>
    <t>out/23</t>
  </si>
  <si>
    <t>nov/23</t>
  </si>
  <si>
    <t>dez/23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</si>
  <si>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</si>
  <si>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</si>
  <si>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</si>
  <si>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</si>
  <si>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</si>
  <si>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</si>
  <si>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</si>
  <si>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</si>
  <si>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</si>
  <si>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</si>
  <si>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</si>
  <si>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</si>
  <si>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</si>
  <si>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</si>
  <si>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</si>
  <si>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</si>
  <si>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</si>
  <si>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</si>
  <si>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</si>
  <si>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</si>
  <si>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</si>
  <si>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</si>
  <si>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</si>
  <si>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</si>
  <si>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</si>
  <si>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</si>
  <si>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</si>
  <si>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</si>
  <si>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</si>
  <si>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</si>
  <si>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</si>
  <si>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</si>
  <si>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</si>
  <si>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</si>
  <si>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</si>
  <si>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</si>
  <si>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PMV</t>
  </si>
  <si>
    <t>LINEA ADOC SACARINA LIQ 12X100ML</t>
  </si>
  <si>
    <t>LIQUIDO SACARINA</t>
  </si>
  <si>
    <t>LINEA ADOC SUCRAL INSTIT 1000X0,5G</t>
  </si>
  <si>
    <t>PO LINEA</t>
  </si>
  <si>
    <t>LINEA ADOC STEVIA LIQ 12X60ML</t>
  </si>
  <si>
    <t>LIQUIDO STEVIA</t>
  </si>
  <si>
    <t>LINEA ADOC SUCRAL LIQ 24X75ML</t>
  </si>
  <si>
    <t>LIQUIDO LINEA</t>
  </si>
  <si>
    <t>LINEA ADOC STEVIA LIQ (50% DESC 2ª UNID) 60ML</t>
  </si>
  <si>
    <t>LINEA GELEIA MORANGO 12X230G</t>
  </si>
  <si>
    <t>GELEIA LINEA</t>
  </si>
  <si>
    <t>LINEA ADOC SUCRAL LIQ (50% DESC 2ª UNID) 75ML</t>
  </si>
  <si>
    <t>LINEA ADOC STEVIA LIQ 12X25ML</t>
  </si>
  <si>
    <t>LINEA GELATINA MORANGO 24X10G</t>
  </si>
  <si>
    <t>GELATINA LINEA</t>
  </si>
  <si>
    <t>LINEA ADOC SUCRAL INSTIT 500X0,5G</t>
  </si>
  <si>
    <t>LINEA ADOC SUCRAL LIQ PCK (2 75ML+1 25ML)X11</t>
  </si>
  <si>
    <t>LINEA ADOC STEVIA PO 12X50X0,5G</t>
  </si>
  <si>
    <t>PO STEVIA</t>
  </si>
  <si>
    <t>LINEA GELATINA UVA 24X10G</t>
  </si>
  <si>
    <t>LINEA GELEIA DE FRUTAS VERMELHAS 12X230G</t>
  </si>
  <si>
    <t>LINEA ADOC SUCRAL LIQ 24X25ML</t>
  </si>
  <si>
    <t>LINEA ADOC SUCRAL PO 24X50X0,5G</t>
  </si>
  <si>
    <t>LINEA ACHOCOLATADO POTE 12X180G</t>
  </si>
  <si>
    <t>ACHOCOLATADO LINEA</t>
  </si>
  <si>
    <t>LINEA GELEIA AMORA 12X230G</t>
  </si>
  <si>
    <t>LINEA GELATINA ABACAXI 24X10G</t>
  </si>
  <si>
    <t>LINEA ADOC SUCRAL PO L3P2 (3ADOC PO 50UN)X8UN</t>
  </si>
  <si>
    <t>LINEA WAFER CHOCOLATE 16X90G</t>
  </si>
  <si>
    <t>WAFER LINEA</t>
  </si>
  <si>
    <t>LINEA GELEIA FRAMBOESA 12X230G</t>
  </si>
  <si>
    <t>LINEA GELEIA DE PIMENTA VERMELHA 12X230G</t>
  </si>
  <si>
    <t>LINEA WAFER MERENGUE DE MORANGO 16X90G</t>
  </si>
  <si>
    <t>LINEA GELATINA CEREJA 24X10G</t>
  </si>
  <si>
    <t>LINEA GELEIA MIRTILO 12X230G</t>
  </si>
  <si>
    <t>LINEA WAFER CHURROS 16X90G</t>
  </si>
  <si>
    <t>LINEA GELATINA LIMAO 24X10G</t>
  </si>
  <si>
    <t>LINEA GELEIA DAMASCO 12X230G</t>
  </si>
  <si>
    <t>LINEA ADOC SUCRAL CULIN 4X400G</t>
  </si>
  <si>
    <t>CULINARIO LINEA</t>
  </si>
  <si>
    <t>LINEA ADOC XILITOL LIQ 12X60ML</t>
  </si>
  <si>
    <t>LIQUIDO XILITOL</t>
  </si>
  <si>
    <t>LINEA ADOC STEVIA PO (50% DESC 2ºUNID) 50 ENV</t>
  </si>
  <si>
    <t>LINEA CHOCOLATE LEITE 4X15X30G</t>
  </si>
  <si>
    <t>CHOCOLATE LINEA</t>
  </si>
  <si>
    <t>LINEA PIPOCA PRONT CARAM 12X50G</t>
  </si>
  <si>
    <t>PIPOCA LINEA</t>
  </si>
  <si>
    <t>LINEA CHOCOLATE BCO COOKIES CR 4X15X30G</t>
  </si>
  <si>
    <t>LINEA CHOCOLATE LEITE ZERO LACT 4X15X30G</t>
  </si>
  <si>
    <t>LINEA ADOC STEVIA INSTIT 500X0,5G</t>
  </si>
  <si>
    <t>LINEA GELEIA DE UVA 12X230G</t>
  </si>
  <si>
    <t>LINEA ADOC XILITOL PO 6X250G</t>
  </si>
  <si>
    <t>XILITOL LINEA</t>
  </si>
  <si>
    <t>LINEA ADOC SUCRAL PO (50% DESC 2ªUNID) 50 ENV</t>
  </si>
  <si>
    <t>LINEA ADOC SUCRAL CULIN 8X120G</t>
  </si>
  <si>
    <t>LINEA PIPOCA PRONT CHOCO 12X50G</t>
  </si>
  <si>
    <t>LINEA PUDIM PO CHOCOLATE 24X30G</t>
  </si>
  <si>
    <t>PUDIM LINEA</t>
  </si>
  <si>
    <t>LINEA GELEIA GOIABA 12X230G</t>
  </si>
  <si>
    <t>LINEA LEITE CONDENSADO 12X210G</t>
  </si>
  <si>
    <t>LEITE CONDENSADO</t>
  </si>
  <si>
    <t>LINEA DOCE DE LEITE 12X210G</t>
  </si>
  <si>
    <t>DOCE DE LEITE LINEA</t>
  </si>
  <si>
    <t>LINEA ADOC SUCRAL LIQ INSTIT 6X75ML</t>
  </si>
  <si>
    <t>LINEA ADOC SUCRAL PO 24X70X0,5G</t>
  </si>
  <si>
    <t>LINEA CHOCOLATE DARK 4X15X30G</t>
  </si>
  <si>
    <t>LINEA GELATINA TANGERINA 24X10G</t>
  </si>
  <si>
    <t>LINEA GELATINA MARACUJA 12X10G</t>
  </si>
  <si>
    <t>LINEA BISCOITO INTEG CACAU E CEREAIS 24X100G</t>
  </si>
  <si>
    <t>BISCOITO INTEGRAL LINEA</t>
  </si>
  <si>
    <t>LINEA CHOCOLATE BRANCO 4X15X30G</t>
  </si>
  <si>
    <t>LINEA PUDIM PO COCO 24X25G</t>
  </si>
  <si>
    <t>LINEA CAPPUCCINO 12X150G</t>
  </si>
  <si>
    <t>CAPPUCCINO LINEA</t>
  </si>
  <si>
    <t>LINEA ADOC STEVIA PO L100P70 12X100X0,5G</t>
  </si>
  <si>
    <t>LINEA CHOCO FAMILIAR AO LEITE 4X10X75G</t>
  </si>
  <si>
    <t>KETCHUP LINEA 12X350G</t>
  </si>
  <si>
    <t>MOLHOS LINEA</t>
  </si>
  <si>
    <t>LINEA GELATINA TUTTI FRUTTI 12X10G</t>
  </si>
  <si>
    <t>LINEA CHOCO CULINARIO LEITE 8X250G</t>
  </si>
  <si>
    <t>LINEA PUDIM PO BAUNILHA 24X25G</t>
  </si>
  <si>
    <t>LINEA BISCOITO INTEG LARANJA E CENOUR 24X100G</t>
  </si>
  <si>
    <t>LINEA CHOCO FAMILIAR BCO COOKIES 4X10X75G</t>
  </si>
  <si>
    <t>LINEA GELEIA JABUTICABA 12X230G</t>
  </si>
  <si>
    <t>LINEA BISCOITO INTEG BANANA E CANELA 24X100G</t>
  </si>
  <si>
    <t>LINEA PUDIM PO MORANGO 24X25G</t>
  </si>
  <si>
    <t>LINEA GELEIA DE ABACAXI C/ HORTELA 12X230G</t>
  </si>
  <si>
    <t>LINEA PUDIM PO CARAMELO 24X25G</t>
  </si>
  <si>
    <t>LINEA ADOC SUCRAL CULIN 12X70G</t>
  </si>
  <si>
    <t>LINEA CHOCO FAMILIAR DARK 4X10X75G</t>
  </si>
  <si>
    <t>LINEA MOLHO MOSTARDA 12X350G</t>
  </si>
  <si>
    <t>LINEA MIST BOLO CHOCOL 8X300G</t>
  </si>
  <si>
    <t>MISTURA PARA BOLO LINEA</t>
  </si>
  <si>
    <t>LINEA MIST BOLO LARANJ 8X300G</t>
  </si>
  <si>
    <t>ADOC LIQUIDO LINEA 12X2X75ML</t>
  </si>
  <si>
    <t>CC</t>
  </si>
  <si>
    <t>LINEA CHOCOLATE BRANCO ZERO LACT 4X15X30G</t>
  </si>
  <si>
    <t>LINEA MOLHO BARBECUE 12X350G</t>
  </si>
  <si>
    <t>LINEA GELATINA MORANGO 6X4X10G</t>
  </si>
  <si>
    <t>ADOC STEVIA LIQ LINEA 6X2X60ML</t>
  </si>
  <si>
    <t>LINEA GELEIA DE MACA COM CANELA 12X230G</t>
  </si>
  <si>
    <t>LINEA CHOC VEGANO BR C/ FR VERM 4X15X30G</t>
  </si>
  <si>
    <t>LINEA ADOC SUCRAL PO 24X100X0,5G</t>
  </si>
  <si>
    <t>LINEA ADOC XILITOL PO 6X40X5G</t>
  </si>
  <si>
    <t>LINEA GELEIA DE CEBOLA CARAMELIZADA 12X230G</t>
  </si>
  <si>
    <t>LINEA SHAKE PREMIUM CHOC 12X210G</t>
  </si>
  <si>
    <t>SHAKE LINEA</t>
  </si>
  <si>
    <t>LINEA SHAKE PREMIUM BAUNILHA 12X210G</t>
  </si>
  <si>
    <t>LINEA BARRA CEREAIS TRUFA CHOCOLATE 12X3X20G</t>
  </si>
  <si>
    <t>BARRA LINEA</t>
  </si>
  <si>
    <t>LINEA DOCE DE LEITE COCO 12X210G</t>
  </si>
  <si>
    <t>LINEA GELATINA UVA 6X4X10G</t>
  </si>
  <si>
    <t>LINEA BARRA CEREAIS BANANA C/ AVEIA 12X3X20G</t>
  </si>
  <si>
    <t>LINEA CHOCOLATE LEITE 8X15X13G</t>
  </si>
  <si>
    <t>LINEA CHOCOLATE BCO COOKIES CR 8X15X13G</t>
  </si>
  <si>
    <t>LINEA CHOCO CULINARIO DARK 8X250G</t>
  </si>
  <si>
    <t>LINEA BARRA CEREAIS MORANGO C/ IOG 12X3X20G</t>
  </si>
  <si>
    <t>LINEA SHAKE PREMIUM MORANGO 12X210G</t>
  </si>
  <si>
    <t>LINEA BARRA CEREAIS MORANGO C/ IOG 12X12X20G</t>
  </si>
  <si>
    <t>LINEA BARRA CEREAIS BANANA C/ AVEIA 12X12X20G</t>
  </si>
  <si>
    <t>BOLO DE COCO MARI JUNQUEIRA 8X300G</t>
  </si>
  <si>
    <t>LINEA BARRA CEREAIS TRUFA CHOCOLATE 12X12X20G</t>
  </si>
  <si>
    <t>LINEA MIST BOLO BAUNIL 8X300G</t>
  </si>
  <si>
    <t>LINEA BARRA CEREAIS COOKIESN CREAM 12X3X20G</t>
  </si>
  <si>
    <t>LINEA GELEIA MORANGO 6X2X230G</t>
  </si>
  <si>
    <t>LINEA CHOCOLATE DARK 8X15X13G</t>
  </si>
  <si>
    <t>LINEA CHOCOLATE BRANCO 8X15X13G</t>
  </si>
  <si>
    <t>LINEA BARRA CEREAIS COOKIESN CREAM 12X12X20G</t>
  </si>
  <si>
    <t>LINEA CHOCO CULINARIO BRANCO 8X250G</t>
  </si>
  <si>
    <t>LINEA CHOCOLATE LEITE ZERO LACT 8X15X13G</t>
  </si>
  <si>
    <t>LINEA CHOC VEGANO LEITE C/ NIBS 4X15X30G</t>
  </si>
  <si>
    <t xml:space="preserve">LINEA GELEIA DE UVA 6X2X230G                 </t>
  </si>
  <si>
    <t>LINEA GELEIA DE PIMENTA VERMELHA 6X2X230G</t>
  </si>
  <si>
    <t>LINEA SHAKE IOGURT C FR VERM 12X210G</t>
  </si>
  <si>
    <t>LINEA SHAKE COOKIES'N CREAM 12X210G</t>
  </si>
  <si>
    <t>LINEA BARRA CEREAIS NUTS C/ CHOCO 12X12X20G</t>
  </si>
  <si>
    <t>LINEA BARRA CEREAIS NUTS C/ CHOCO 12X3X20G</t>
  </si>
  <si>
    <t>LINEA BARRA PROTEINA CHEESECAKE MORANGO 6X12X32G</t>
  </si>
  <si>
    <t>BARRA PROTEINA LINEA</t>
  </si>
  <si>
    <t xml:space="preserve">LINEA BARRA PROTEINA CHOCOLATE 6X12X32G      </t>
  </si>
  <si>
    <t>LINEA BARRA PROTEINA COOKIES'N CREAM 6X12X32G</t>
  </si>
  <si>
    <t>LINEA BARRA PROTEINA CREME AVELÃ 6X12X32G</t>
  </si>
  <si>
    <t xml:space="preserve">LINEA BARRA PROTEINA PACOCA 6X12X32G         </t>
  </si>
  <si>
    <t>CAPUC ZERO ACUCAR LINEA12X180G</t>
  </si>
  <si>
    <t>LINEA ACHOCOLATADO POTE 4X3X180G</t>
  </si>
  <si>
    <t>LINEA ACHOCOLATADO POTE 6X2X180G</t>
  </si>
  <si>
    <t xml:space="preserve">LINEA BISCOITO INTEG BANANA E CANELA 24X120G </t>
  </si>
  <si>
    <t xml:space="preserve">LINEA BISCOITO INTEG CACAU E CEREAIS 24X120G </t>
  </si>
  <si>
    <t>LINEA BISCOITO INTEG LARANJA E CENOUR 24X120G</t>
  </si>
  <si>
    <t>LINEA WAFER CHOCOLATE 24X105G</t>
  </si>
  <si>
    <t>LINEA WAFER CHURROS 24X105G</t>
  </si>
  <si>
    <t>LINEA WAFER MERENGUE DE MORANGO 24X105G</t>
  </si>
  <si>
    <t>LINEA CHA DIURETIC TIME LATA C/7 STICKS 6X14G</t>
  </si>
  <si>
    <t>CHA LINEA</t>
  </si>
  <si>
    <t>LINEA CHA RELAX TIME LATA C/7 STICKS 6X14G</t>
  </si>
  <si>
    <t>LINEA CHOCOBALL PROT AO LEITE 6X8X35g</t>
  </si>
  <si>
    <t>CHOCOBALL LINEA</t>
  </si>
  <si>
    <t>LINEA CHOCOBALL PROT COOKIES'N CREAM 6X8X35g</t>
  </si>
  <si>
    <t>LINEA BOMBOM CHOCOLATE CANGURU 4X18X11G</t>
  </si>
  <si>
    <t>BOMBOM LINEA</t>
  </si>
  <si>
    <t>LINEA BOMBOM COCO CANGURU 4X18X11G</t>
  </si>
  <si>
    <t>LINEA BOMBOM SORTIDO CLÁSSICO POUCH 12X10X11G</t>
  </si>
  <si>
    <t>LINEA BOMBOM SORTIDO FRUTAS POUCH 12X10X11G</t>
  </si>
  <si>
    <t>LINEA CHOCO PCK 4UN AO LEITE COOKIES 12X4X30G</t>
  </si>
  <si>
    <t>LINEA MINI WAFER COBERT AO LEITE 24X10X6,5G</t>
  </si>
  <si>
    <t>MINI WAFER LINEA</t>
  </si>
  <si>
    <t>LINEA MINI WAFER COBERT BR COOKIES 24X10X6,5G</t>
  </si>
  <si>
    <t>LINEA ADOC ERITRITOL PO 6X250G</t>
  </si>
  <si>
    <t>ERITRITOL LINEA</t>
  </si>
  <si>
    <t>LINEA ADOC ERITRITOL PO 6X40X5G</t>
  </si>
  <si>
    <t>LINEA ADOCANTE EM PO ERITRITOL 6X300G</t>
  </si>
  <si>
    <t xml:space="preserve">LINEA GELEIA AMORA 6X2X230G                  </t>
  </si>
  <si>
    <t>LINEA GELEIA DE LARANJA 12X230G</t>
  </si>
  <si>
    <t>LINEA HUMMM BARRA PROT BANOFFEE 6X12X20G</t>
  </si>
  <si>
    <t>HUMMM</t>
  </si>
  <si>
    <t>LINEA HUMMM BARRA PROT BEIJINHO 12X20G</t>
  </si>
  <si>
    <t>LINEA HUMMM BARRA PROT BIRTHDAY CAKE 12X20G</t>
  </si>
  <si>
    <t>LINEA HUMMM BARRA PROT BRIGADEIRO 6X12X20G</t>
  </si>
  <si>
    <t>LINEA HUMMM BARRA PROT BROWNIE 6X12X35G</t>
  </si>
  <si>
    <t>LINEA HUMMM BARRA PROT CHEESECAKE MO 6X12X35G</t>
  </si>
  <si>
    <t>LINEA HUMMM BARRA PROT COOKIES CREAM 6X12X35G</t>
  </si>
  <si>
    <t>LINEA HUMMM BARRA PROT CREME AVELA 6X12X35G</t>
  </si>
  <si>
    <t>LINEA HUMMM BARRA PROT DOCE DE LEITE 6X12X20G</t>
  </si>
  <si>
    <t>LINEA HUMMM BARRA PROT MARACUJA 6X12X20G</t>
  </si>
  <si>
    <t>LINEA HUMMM BARRA PROT PACOCA 6X12X35G</t>
  </si>
  <si>
    <t>LINEA HUMMM BARRA PROT TORTA D LIMAO 6X12X35G</t>
  </si>
  <si>
    <t>LINEA ADOC SORTIDO 12X70,8G</t>
  </si>
  <si>
    <t>LINEA CREME AVELA C/ CACAU 12X150G</t>
  </si>
  <si>
    <t>CREME DE AVELA</t>
  </si>
  <si>
    <t>LINEA MINI OVINHOS PASCOA AO LEITE 12X80G</t>
  </si>
  <si>
    <t>OVOS DE PÁSCOA</t>
  </si>
  <si>
    <t>LINEA MINI OVINHOS PASCOA COOKIESCREAM 12X80G</t>
  </si>
  <si>
    <t>OVO PASC BR COOKIES N' CREAM LINEA 6X180G</t>
  </si>
  <si>
    <t>OVO PASC LEITE ZERO LAC 6X180G</t>
  </si>
  <si>
    <t>OVO PASC RECHEADO MOUSSE AO LEITE 6X240G</t>
  </si>
  <si>
    <t>OVO PASCOA BRANCO LINEA 6X180G</t>
  </si>
  <si>
    <t>OVO PASCOA DARK LINEA 6X180G</t>
  </si>
  <si>
    <t>OVO PASCOA LEITE LINEA 6X180G</t>
  </si>
  <si>
    <t>LINEA SHAKE COOKIES'N CREAM 12X330G</t>
  </si>
  <si>
    <t>LINEA SHAKE IOGURT C FR VERM 12X330G</t>
  </si>
  <si>
    <t>LINEA SHAKE PREMIUM BAUNILHA 12X330G</t>
  </si>
  <si>
    <t>LINEA SHAKE PREMIUM CHOC 12X330G</t>
  </si>
  <si>
    <t>LINEA SHAKE PREMIUM MORANGO 12X330G</t>
  </si>
  <si>
    <t>LINEA MIST BOLO COCO 8X300G</t>
  </si>
  <si>
    <t>LINEA PUDIM PO CHOCOLATE 24X25G</t>
  </si>
  <si>
    <t>ADOC STEVIA LIQ LINEA 2X6X25ML</t>
  </si>
  <si>
    <t>ADOC STEVIA LIQ LINEA 2X6X60ML</t>
  </si>
  <si>
    <t>ADOC STEVIA PO LINEA 12X50X0,6</t>
  </si>
  <si>
    <t xml:space="preserve">ADOC STEVIA PO LINEA 2X6X50X0,6G </t>
  </si>
  <si>
    <t>ADOC STEVIA POLINEA 500X0,6</t>
  </si>
  <si>
    <t>LINEA ADOC STEVIA LIQ COPA 12X60ML</t>
  </si>
  <si>
    <t>LINEA ADOC STEVIA PO 2X6X50X0,5G</t>
  </si>
  <si>
    <t>LINEA ADOC STEVIA PO COPA 12X50X0,5G</t>
  </si>
  <si>
    <t>LINEA STEVIA 100% PO L100P70 12X100X0,6G</t>
  </si>
  <si>
    <t>LINEA STEVIA PO 50 ENV (50% DESC 2ª UNID)</t>
  </si>
  <si>
    <t>ADOC LIQUIDO LINEA 4X6X25ML</t>
  </si>
  <si>
    <t>ADOC LIQUIDO LINEA 4X6X75ML</t>
  </si>
  <si>
    <t>ADOCANTE PO LINEA 1000X0,6G</t>
  </si>
  <si>
    <t xml:space="preserve">ADOCANTE PO LINEA 12X200X0,8G </t>
  </si>
  <si>
    <t>ADOCANTE PO LINEA 24X100X0,8G</t>
  </si>
  <si>
    <t>ADOCANTE PO LINEA 24X50X0,8G</t>
  </si>
  <si>
    <t>ADOCANTE PO LINEA 24X70X0,8G</t>
  </si>
  <si>
    <t>ADOCANTE PO LINEA 4X6X50X0,8G</t>
  </si>
  <si>
    <t>ADOCANTE PO LINEA 500X0,6G</t>
  </si>
  <si>
    <t>LINEA ADOC SUCRAL INSTIT 1000X0,5G - COPA</t>
  </si>
  <si>
    <t>LINEA ADOC SUCRAL INSTIT 1000X0,5G (ERITRITOL)</t>
  </si>
  <si>
    <t>LINEA ADOC SUCRAL INSTIT 500X0,5G (ERITRITOL)</t>
  </si>
  <si>
    <t>LINEA ADOC SUCRAL LIQ COPA 24X75ML</t>
  </si>
  <si>
    <t>LINEA ADOC SUCRAL PO 24X100X0,5G (ERITRITOL)</t>
  </si>
  <si>
    <t>LINEA ADOC SUCRAL PO 24X50X0,5G (ERITRITOL)</t>
  </si>
  <si>
    <t>LINEA ADOC SUCRAL PO 4X6X50X0,5G</t>
  </si>
  <si>
    <t>LINEA ADOC SUCRAL PO COPA 24X50X0,5G</t>
  </si>
  <si>
    <t>LINEA ADOC SUCRAL PO L100P70 24X100X0,5G</t>
  </si>
  <si>
    <t>LINEA ADOC SUCRAL PO L3P2 (3ADOC PO 50UN)X8UN (ERITRITOL)</t>
  </si>
  <si>
    <t>LINEA ADOC SUCRALOSE PO 24X70X0,5G (ERITRITOL)</t>
  </si>
  <si>
    <t>LINEA SUCRALOSE PO 50 ENV (50% DESC 2ª UNID)</t>
  </si>
  <si>
    <t>LINEA SUCRALOSE PO L100P70 24X100X0,8</t>
  </si>
  <si>
    <t>PCK L3P2 (3 ADOC PO 50UN)X8UN</t>
  </si>
  <si>
    <t>LINEA ADOC SWEET NATURAL CULINARIO 6X250G</t>
  </si>
  <si>
    <t>SWEET LINEA</t>
  </si>
  <si>
    <t>LINEA ADOC SWEET NATURAL INSTIT 300X0,6G</t>
  </si>
  <si>
    <t xml:space="preserve">INSTITUCIONAL </t>
  </si>
  <si>
    <t>LINEA ADOC SWEET NATURAL LIQUIDO 12X25ML</t>
  </si>
  <si>
    <t>LIQUIDO SWEET LINEA</t>
  </si>
  <si>
    <t>LINEA ADOC SWEET NATURAL LIQUIDO 12X60ML</t>
  </si>
  <si>
    <t>LINEA ADOC SWEET NATURAL PO 12X50X0,6G</t>
  </si>
  <si>
    <t>PO SWEET LINEA</t>
  </si>
  <si>
    <t>LINEA SWEET NATURAL CULINARIO 6X300G</t>
  </si>
  <si>
    <t>LINEA HUMMM WAFER PROT CHOCOLATE 2X12X25G</t>
  </si>
  <si>
    <t>WAFER HUMMM</t>
  </si>
  <si>
    <t>LINEA HUMMM WAFER PROT COOKIES 2X12X25G</t>
  </si>
  <si>
    <t>LINEA WHEY PROT CONCENTRADO NEUTRO 8X450G</t>
  </si>
  <si>
    <t>SUPLEMENTOS LINEA</t>
  </si>
  <si>
    <t>LINEA WHEY PROT ISO/HID CAPPUC LATA 8X450G</t>
  </si>
  <si>
    <t>LINEA WHEY PROT ISO/HID CAPPUC SACH 4X15X30G</t>
  </si>
  <si>
    <t>LINEA WHEY PROT ISO/HID CHOCO LATA 8X450G</t>
  </si>
  <si>
    <t>LINEA WHEY PROT ISO/HID CHOCO SACH 4X15X30G</t>
  </si>
  <si>
    <t>LINEA WHEY PROT ISO/HID COOKIES LATA 8X450G</t>
  </si>
  <si>
    <t>LINEA WHEY PROT ISO/HID COOKIES SACH 4X15X30G</t>
  </si>
  <si>
    <t>LINEA GELATINA SEM SABOR 24X12G</t>
  </si>
  <si>
    <t>DE/PARA</t>
  </si>
  <si>
    <t>und/caixa</t>
  </si>
  <si>
    <t>M2</t>
  </si>
  <si>
    <t>M3</t>
  </si>
  <si>
    <t>M4</t>
  </si>
  <si>
    <t>ADOCANTE SUCRALOSE LIQUIDO LINEA 25ML</t>
  </si>
  <si>
    <t>ADOCANTE SUCRALOSE LIQUIDO LINEA 75ML</t>
  </si>
  <si>
    <t>ADOCANTE STEVIA LIQUIDO LINEA 25ML</t>
  </si>
  <si>
    <t>ADOCANTE STEVIA LIQUIDO LINEA 60ML</t>
  </si>
  <si>
    <t>ADOCANTE STEVIA EM PO LINEA 50 SACHES</t>
  </si>
  <si>
    <t>ADOCANTE SWEET NATURAL LIQUIDO LINEA 25ML</t>
  </si>
  <si>
    <t>ADOCANTE SWEET NATURAL LIQUIDO LINEA 60ML</t>
  </si>
  <si>
    <t>ADOCANTE XILITOL LIQUIDO LINEA 60ML</t>
  </si>
  <si>
    <t>ADOCANTE SUCRALOSE EM PO LINEA 70 SACHES</t>
  </si>
  <si>
    <t>ADOCANTE SUCRALOSE EM PO LINEA 100 SACHES</t>
  </si>
  <si>
    <t>ADOC SUCRALOSE INSTIT EM PO LINEA 1000 SACHES</t>
  </si>
  <si>
    <t>ADOC SUCRALOSE INSTIT EM PO LINEA 500 SACHES</t>
  </si>
  <si>
    <t>ADOCANTE ERITRITOL EM PO LINEA 40 SACHES</t>
  </si>
  <si>
    <t>ADOCANTE ERITRITOL EM PO LINEA 300G</t>
  </si>
  <si>
    <t>ADOCANTE STEVIA INSTIT EM PO LINEA 500 SACHES</t>
  </si>
  <si>
    <t>ADOC SWEET NAT INSTIT EM PO LINEA 300 SACHES</t>
  </si>
  <si>
    <t>ADOCANTE SWEET NATURAL EM PO LINEA 50 SACHES</t>
  </si>
  <si>
    <t>ADOCANTE SUCRALOSE EM PO LINEA 50 SACHES</t>
  </si>
  <si>
    <t>ADOCANTE XILITOL EM PO LINEA 40 SACHES</t>
  </si>
  <si>
    <t>BARRA CEREAL  BANANA COM AVEIA 12 UNID DE 20G</t>
  </si>
  <si>
    <t>BARRA CEREAL BANANA COM AVEIA 3 UNID DE 20G</t>
  </si>
  <si>
    <t>BARRA CEREAL LINEA MORANGO COM IOG 12 UN 20G</t>
  </si>
  <si>
    <t>BARRA CEREAL LINEA MORANGO COM IOG 3 UNID 20G</t>
  </si>
  <si>
    <t>BARRA CEREAL NUTS E CHOCO LINEA 12 UNID DE 20</t>
  </si>
  <si>
    <t>BARRA CEREAL NUTS E CHOCO LINEA 3 UNID DE 20G</t>
  </si>
  <si>
    <t>BARRA CEREAL LINEA TRUFA DE CHOC 12 UNID 20G</t>
  </si>
  <si>
    <t>BARRA CEREAL LINEA TRUFA DE CHOC 3 UNID 20G</t>
  </si>
  <si>
    <t>BARRA CEREAL LINEA COOKIES'N CREAM 12 UNID 20</t>
  </si>
  <si>
    <t>BARRA DE CEREAL LINEA COOKIES'N CREAM 3 UN 20</t>
  </si>
  <si>
    <t>LINEA HUMMM BARRA PROT PACOCA 1X12X35G</t>
  </si>
  <si>
    <t>BARRA DE PROTEINA LINEA HUMMM PACOCA 1 UNIDAD</t>
  </si>
  <si>
    <t>LINEA HUMMM BARRA PROT COOKIES CREAM 1X12X35G</t>
  </si>
  <si>
    <t>BARRA DE PROTEINA LINEA HUMMM COOKIES´N CREAM</t>
  </si>
  <si>
    <t>LINEA HUMMM BARRA PROT CHEESECAKE MO 1X12X35G</t>
  </si>
  <si>
    <t>BARRA DE PROTEINA LINEA HUMMM CHEESECAKE MORA</t>
  </si>
  <si>
    <t>LINEA HUMMM BARRA PROT CREME AVELA 1X12X35G</t>
  </si>
  <si>
    <t>BARRA DE PROTEINA LINEA HUMMM CREME AVELA 1 U</t>
  </si>
  <si>
    <t>BARRA DE PROTEINA LINEA HUMMM BRIGADEIRO 1 UN</t>
  </si>
  <si>
    <t>LINEA HUMMM BARRA PROT BRIGADEIRO 1X12X20G</t>
  </si>
  <si>
    <t>BARRA DE PROTEINA LINEA HUMMM BANOFFEE 1 UNID</t>
  </si>
  <si>
    <t>BARRA DE PROTEINA LINEA HUMMM BANOFFEE 1 DP</t>
  </si>
  <si>
    <t>BARRA DE PROTEINA  HUMMM DOCE DE LEITE 1 UN</t>
  </si>
  <si>
    <t>LINEA HUMMM BARRA PROT DOCE DE LEITE 1X12X20G</t>
  </si>
  <si>
    <t>BARRA DE PROTEINA LINEA HUMMM MARACUJA 1 UNID</t>
  </si>
  <si>
    <t>LINEA HUMMM BARRA PROT MARACUJA 1X12X20G</t>
  </si>
  <si>
    <t>LINEA HUMMM BARRA PROT BROWNIE 1X12X35G</t>
  </si>
  <si>
    <t>BARRA DE PROTEINA LINEA HUMMM BROWNIE 1 UNIDA</t>
  </si>
  <si>
    <t>LINEA HUMMM BARRA PROT TORTA D LIMAO 01X35G</t>
  </si>
  <si>
    <t>MIX BARRAS DE PROTEÍNAS 35G</t>
  </si>
  <si>
    <t>MIX BARRAS PROTEICAS 20G</t>
  </si>
  <si>
    <t>LINEA HUMMM BARRA PROT BIRTHDAY CAKE 1X20G</t>
  </si>
  <si>
    <t>LINEA HUMMM BARRA PROT BEIJINHO 1X20G</t>
  </si>
  <si>
    <t>GELEIA DE MORANGO LINEA 230G</t>
  </si>
  <si>
    <t>GELEIA DE PIMENTA VERMELHA LINEA 230G</t>
  </si>
  <si>
    <t>GELEIA DE FRUTAS VERMELHAS LINEA 230G</t>
  </si>
  <si>
    <t>GELEIA DE ABACAXI COM HORTELA LINEA 230G</t>
  </si>
  <si>
    <t>GELEIA DE CEBOLA CARAMELIZADA LINEA 230G</t>
  </si>
  <si>
    <t>GELEIA DE UVA LINEA 230G</t>
  </si>
  <si>
    <t>GELEIA DE LARANJA LINEA 230G</t>
  </si>
  <si>
    <t>GELEIA DE DAMASCO LINEA 230G</t>
  </si>
  <si>
    <t>GELEIA DE FRAMBOESA LINEA 230G</t>
  </si>
  <si>
    <t>GELEIA DE GOIABA LINEA 230G</t>
  </si>
  <si>
    <t>GELEIA DE AMORA LINEA 230G</t>
  </si>
  <si>
    <t>GELEIA DE JABUTICABA LINEA 230G</t>
  </si>
  <si>
    <t>GELEIA DE MIRTILO LINEA 230G</t>
  </si>
  <si>
    <t>SHAKE EM PO LINEA SABOR MORANGO 330G</t>
  </si>
  <si>
    <t>SHAKE EM PO LINEA SABOR CHOCOLATE 330G</t>
  </si>
  <si>
    <t>SHAKE EM PO LINEA SABOR BAUNILHA 330G</t>
  </si>
  <si>
    <t>SHAKE EM PO LINEA SABOR COOKIES'N CREAM 330G</t>
  </si>
  <si>
    <t>SHAKE PO LINEA SAB IOG FRUTAS VERMELHAS 330G</t>
  </si>
  <si>
    <t>CAPPUCCINO EM PO LINEA 150G</t>
  </si>
  <si>
    <t>ADOCANTE SUCRALOSE CULINARIO LINEA 70G</t>
  </si>
  <si>
    <t>ADOCANTE SUCRALOSE CULINARIO LINEA 400G</t>
  </si>
  <si>
    <t>ADOCANTE SUCRALOSE CULINARIO LINEA 120G</t>
  </si>
  <si>
    <t>ADOCANTE XILITOL EM PO LINEA 250G</t>
  </si>
  <si>
    <t>ADOCANTE ERITRITOL EM PO LINEA 250G</t>
  </si>
  <si>
    <t>ADOCANTE SWEET NATURAL CULINARIO LINEA 300G</t>
  </si>
  <si>
    <t>ADOCANTE SWEET NATURAL LINEA CULINARIO 250G</t>
  </si>
  <si>
    <t>ACHOCOLATADO EM PO LINEA 180G</t>
  </si>
  <si>
    <t>BISCOITO INTEGRAL LINEA CACAU E CEREAIS 100G</t>
  </si>
  <si>
    <t>BISCOITO INTEGRAL LINEA BANANA E CANELA 100G</t>
  </si>
  <si>
    <t>BISCOITO INTEGRAL LINEA LARANJA E CENOURA 100</t>
  </si>
  <si>
    <t>LINEA HUMMM WAFER PROT COOKIES 1X25G</t>
  </si>
  <si>
    <t>LINEA WAFER MERENGUE DE MORANGO 90G</t>
  </si>
  <si>
    <t>LINEA WAFER CHOCOLATE 90G</t>
  </si>
  <si>
    <t>LINEA WAFER CHURROS 90G</t>
  </si>
  <si>
    <t>LINEA HUMMM WAFER PROT CHOCOLATE 1X25G</t>
  </si>
  <si>
    <t>WHEY PROTEIN CONC LINEA SAB NEUTRO LATA 450G</t>
  </si>
  <si>
    <t>WHEY PROT ISO E HIDR LINEA SAB CHOC 30G</t>
  </si>
  <si>
    <t>WHEY PROT ISO E HIDR LINEA SAB CHOC LATA 450G</t>
  </si>
  <si>
    <t>CHOCOBALL PROTEIN AO LEITE LINEA 35G</t>
  </si>
  <si>
    <t>CHOCOBALL PROTEIN COOKIES'N CREAM LINEA 35G</t>
  </si>
  <si>
    <t>WHEY PROT ISO E HID LINEA SAB COOKIES'N C 30G</t>
  </si>
  <si>
    <t>WHEY PROT ISO E HID LINEA SAB COOKIES'N C LT</t>
  </si>
  <si>
    <t>WHEY PROTEIN ISO E HIDR LINEA SAB CAPP 30G</t>
  </si>
  <si>
    <t>WHEY PROT ISO E HID LINEA SAB CAPP LATA 450G</t>
  </si>
  <si>
    <t>GELATINA EM PO LINEA SABOR MORANGO 10G</t>
  </si>
  <si>
    <t>GELATINA EM PO LINEA SABOR LIMAO 10G</t>
  </si>
  <si>
    <t>GELATINA EM PO LINEA SABOR TANGERINA 10G</t>
  </si>
  <si>
    <t>GELATINA EM PO LINEA SABOR UVA 10G</t>
  </si>
  <si>
    <t>GELATINA EM PO LINEA SABOR ABACAXI 10G</t>
  </si>
  <si>
    <t>GELATINA EM PO LINEA SABOR CEREJA 10G</t>
  </si>
  <si>
    <t>LEITE CONDENSADO LINEA 210G</t>
  </si>
  <si>
    <t>PUDIM EM PO LINEA SABOR MORANGO 25G</t>
  </si>
  <si>
    <t>PUDIM EM PO LINEA SABOR CHOCOLATE 30G</t>
  </si>
  <si>
    <t>PUDIM EM PO LINEA SABOR BAUNILHA 25G</t>
  </si>
  <si>
    <t>PUDIM EM PO LINEA SABOR CARAMELO 25G</t>
  </si>
  <si>
    <t>PUDIM EM PO LINEA SABOR COCO 25G</t>
  </si>
  <si>
    <t>CHOCOLATE VEGANO BRANCO  FRUTAS VERMELHAS 1UN</t>
  </si>
  <si>
    <t>CHOCOLATE VEG BRANCO C/ FRUTAS VERMELHAS DP</t>
  </si>
  <si>
    <t>CHOCOLATE VEGANO AO LEITE COM NIBS LINEA 1 UN</t>
  </si>
  <si>
    <t>CHOCOLATE VEG AO LEITE COM NIBS DE CACAU DP</t>
  </si>
  <si>
    <t>CHOCOLATE INDIVIDUAL AO LEITE LINEA 1 UN 30G</t>
  </si>
  <si>
    <t>TABLETE CHOCOLATE AO LEITE LINEA 75G</t>
  </si>
  <si>
    <t>CHOCOLATE IND AO LEITE LINEA 15 UNID 30G</t>
  </si>
  <si>
    <t>CHOCOLATE CULINARIO AO LEITE LINEA 250G</t>
  </si>
  <si>
    <t>MINI CHOC LINEA AO LEITE 15 UNID DE 13G</t>
  </si>
  <si>
    <t>CHOCOLATE INDIVIDUAL DARK LINEA 1 UN 30G</t>
  </si>
  <si>
    <t>TABLETE CHOCOLATE DARK LINEA 75G</t>
  </si>
  <si>
    <t>CHOCOLATE IND DARK LINEA 15 UNID DE 30G</t>
  </si>
  <si>
    <t>CHOCOLATE CULINARIO DARK LINEA 250G</t>
  </si>
  <si>
    <t>MINI CHOCOLATE LINEA DARK 15 UNIDADES DE 13G</t>
  </si>
  <si>
    <t>CHOCOLATE INDIVIDUAL BRANCO LINEA 1 UN 30G</t>
  </si>
  <si>
    <t>TABLETE CHOCOLATE COOKIES'N CREAM LINEA 75G</t>
  </si>
  <si>
    <t>CHOCOLATE IND BRANCO LINEA 15 UNID DE 30G</t>
  </si>
  <si>
    <t>CHOCOLATE CULINARIO BRANCO LINEA 250G</t>
  </si>
  <si>
    <t>MINI CHOCOLATE LINEA BRANCO 15 UNID DE 13G</t>
  </si>
  <si>
    <t>CHOCOLATE IND AO LEITE ZERO LAC LINEA 1 UN 30</t>
  </si>
  <si>
    <t>CHOCOLATE IND AO LEITE ZERO LAC LINEA 15 UNID</t>
  </si>
  <si>
    <t>MINI CHOC LINEA AO LEITE ZERO LAC 15 UNID 13G</t>
  </si>
  <si>
    <t>CHOCOLATE IND BRANCO ZERO LACT LINEA 1 UND 30</t>
  </si>
  <si>
    <t>CHOCOLATE IND BRANCO ZERO LACT LINEA 15 UNID</t>
  </si>
  <si>
    <t>CHOCOLATE IND BRANCO COOKIES'N CREAM LINEA 1</t>
  </si>
  <si>
    <t>CHOCOLATE IND BRANCO COOKIES'N CREAM LINEA 15</t>
  </si>
  <si>
    <t>MINI CHOC LINEA COOKIES'N CREAM 15 UNID 13G</t>
  </si>
  <si>
    <t>CREME DE AVELA  LINEA COM CACAU 150G</t>
  </si>
  <si>
    <t>DOCE DE LEITE TRADICIONAL LINEA 210G</t>
  </si>
  <si>
    <t>DOCE DE LEITE COM COCO LINEA 210G</t>
  </si>
  <si>
    <t>MISTURA PARA BOLO SABOR CHOCOLATE LINEA 300G</t>
  </si>
  <si>
    <t>MISTURA PARA BOLO SABOR BAUNILHA LINEA 300G</t>
  </si>
  <si>
    <t>MISTURA PARA BOLO SABOR LARANJA LINEA 300G</t>
  </si>
  <si>
    <t>MISTURA PARA BOLO SABOR COCO LINEA 300G</t>
  </si>
  <si>
    <t>KETCHUP TRADICIONAL LINEA 350G</t>
  </si>
  <si>
    <t>MOLHO BARBECUE LINEA 350G</t>
  </si>
  <si>
    <t>MOSTARDA LINEA 350G</t>
  </si>
  <si>
    <t>PIPOCA PRONTA LINEA SABOR CHOCOLATE 50G</t>
  </si>
  <si>
    <t>PIPOCA PRONTA LINEA SABOR CARAMELO 50G</t>
  </si>
  <si>
    <t>PRODUTO</t>
  </si>
  <si>
    <t>CATEGORIA</t>
  </si>
  <si>
    <t>SEGMENTO</t>
  </si>
  <si>
    <t>2026</t>
  </si>
  <si>
    <t>2025</t>
  </si>
  <si>
    <t>2024</t>
  </si>
  <si>
    <t>2023</t>
  </si>
  <si>
    <t>2022</t>
  </si>
  <si>
    <t>ADOÇANTES</t>
  </si>
  <si>
    <t>SUCRALOSE</t>
  </si>
  <si>
    <t>SUCRALOSE LÍQUIDO</t>
  </si>
  <si>
    <t>AA</t>
  </si>
  <si>
    <t>A</t>
  </si>
  <si>
    <t>STEVIA</t>
  </si>
  <si>
    <t>STEVIA LÍQUIDO</t>
  </si>
  <si>
    <t>XILITOL</t>
  </si>
  <si>
    <t>XILITOL LÍQUIDO</t>
  </si>
  <si>
    <t>LANÇAMENTO</t>
  </si>
  <si>
    <t>SUCRALOSE PÓ</t>
  </si>
  <si>
    <t>DESCONTINUADO</t>
  </si>
  <si>
    <t>SUCRALOSE INSTITUCIONAL</t>
  </si>
  <si>
    <t>C</t>
  </si>
  <si>
    <t>STEVIA PÓ</t>
  </si>
  <si>
    <t>SUCRALOSE CULINÁRIO</t>
  </si>
  <si>
    <t>ALIMENTOS</t>
  </si>
  <si>
    <t>GELEIAS</t>
  </si>
  <si>
    <t>GELEIA DE FRUTAS</t>
  </si>
  <si>
    <t>GELEIAS ESPECIAIS</t>
  </si>
  <si>
    <t>BEBIDAS EM PÓ</t>
  </si>
  <si>
    <t>ACHOCOLATADO</t>
  </si>
  <si>
    <t>SOBREMESAS EM PÓ</t>
  </si>
  <si>
    <t>GELATINA</t>
  </si>
  <si>
    <t>B</t>
  </si>
  <si>
    <t>CHOCOLATES</t>
  </si>
  <si>
    <t>IMPULSO</t>
  </si>
  <si>
    <t>AB</t>
  </si>
  <si>
    <t>XILITOL PÓ</t>
  </si>
  <si>
    <t>OUTROS</t>
  </si>
  <si>
    <t>FAMILIAR</t>
  </si>
  <si>
    <t>DOCE DE LEITE</t>
  </si>
  <si>
    <t>BB</t>
  </si>
  <si>
    <t>BISCOITOS</t>
  </si>
  <si>
    <t>BISCOITOS DOCES</t>
  </si>
  <si>
    <t>WAFER</t>
  </si>
  <si>
    <t>MOLHOS</t>
  </si>
  <si>
    <t>CAPPUCCINO</t>
  </si>
  <si>
    <t>BC</t>
  </si>
  <si>
    <t>VEGANO</t>
  </si>
  <si>
    <t>TABLETE CULINÁRIO</t>
  </si>
  <si>
    <t>PIPOCA</t>
  </si>
  <si>
    <t>CB</t>
  </si>
  <si>
    <t>MISTURA PARA BOLO</t>
  </si>
  <si>
    <t>BARRAS</t>
  </si>
  <si>
    <t>BARRA CEREAIS</t>
  </si>
  <si>
    <t>PUDIM</t>
  </si>
  <si>
    <t>CD</t>
  </si>
  <si>
    <t>MIX</t>
  </si>
  <si>
    <t>BARRA PROTEÍNA</t>
  </si>
  <si>
    <t>SHAKE</t>
  </si>
  <si>
    <t>SWEET NATURAL</t>
  </si>
  <si>
    <t>SWEET NATURAL CULINÁRIO</t>
  </si>
  <si>
    <t>SAZONAL</t>
  </si>
  <si>
    <t>OVO DE PÁSCOA</t>
  </si>
  <si>
    <t>SUPLEMENTOS</t>
  </si>
  <si>
    <t>WHEY PROTEIN</t>
  </si>
  <si>
    <t>WHEY PROTEIN ISOLADO E HIDROLISADO</t>
  </si>
  <si>
    <t>CHOCOLATE PROTEICO</t>
  </si>
  <si>
    <t>CHOCOBALL PROTEICO</t>
  </si>
  <si>
    <t>BOMBOM</t>
  </si>
  <si>
    <t>CREME DE AVELÃ</t>
  </si>
  <si>
    <t>ERITRITOL</t>
  </si>
  <si>
    <t>ERITRITOL PÓ</t>
  </si>
  <si>
    <t>STEVIA INSTITUCIONAL</t>
  </si>
  <si>
    <t>MINI WAFER</t>
  </si>
  <si>
    <t>CHÁ FUNCIONAL</t>
  </si>
  <si>
    <t>CHÁ FUNCIONAL SOLÚVEL</t>
  </si>
  <si>
    <t>STEVIA CULINÁRIO</t>
  </si>
  <si>
    <t>PANETTONE</t>
  </si>
  <si>
    <t>COOKIES</t>
  </si>
  <si>
    <t>UP</t>
  </si>
  <si>
    <t>STEVIA COMPRIMIDO</t>
  </si>
  <si>
    <t>GRANOLA</t>
  </si>
  <si>
    <t>LINEA KIDS</t>
  </si>
  <si>
    <t>BEBIDA UHT</t>
  </si>
  <si>
    <t>BOLINHO</t>
  </si>
  <si>
    <t>SWEET NATURAL LÍQUIDO</t>
  </si>
  <si>
    <t>SWEET NATURAL INSTITUCIONAL</t>
  </si>
  <si>
    <t>SWEET NATURAL PO</t>
  </si>
  <si>
    <t>WHEY PROTEIN CONCENTRADO</t>
  </si>
  <si>
    <t>SUCRALOSE COMPRIMIDO</t>
  </si>
  <si>
    <t>CHIPS</t>
  </si>
  <si>
    <t>WAFFER HUMMM</t>
  </si>
  <si>
    <t>BARRA NUTS</t>
  </si>
  <si>
    <t>ECOMMERCE</t>
  </si>
  <si>
    <t>EXPORTAÇÃO</t>
  </si>
  <si>
    <t>SACARINA</t>
  </si>
  <si>
    <t>SACARINA LÍQUIDO</t>
  </si>
  <si>
    <t>Descrição</t>
  </si>
  <si>
    <t>QT Pedido</t>
  </si>
  <si>
    <t>VL Pedido</t>
  </si>
  <si>
    <t>LINEA ADOC SUCRAL LIQ PCK (2 75ml+1 25ml)X11</t>
  </si>
  <si>
    <t>LINEA ADOC SUCRAL LIQ 24X25ml</t>
  </si>
  <si>
    <t>LINEA ADOC SUCRAL LIQ 24X75ml</t>
  </si>
  <si>
    <t>LINEA ADOC STEVIA LIQ 6X2X60ML</t>
  </si>
  <si>
    <t>LINEA ADOC STEVIA LIQ 12X25ml</t>
  </si>
  <si>
    <t>LINEA ADOC STEVIA LIQ 12X60ml</t>
  </si>
  <si>
    <t>LINEA ADOC XILITOL LIQ 12X60ml</t>
  </si>
  <si>
    <t>LINEA ADOC SUCRAL LIQ 12X2X75ML</t>
  </si>
  <si>
    <t>LINEA ADOC SUCRAL LIQ INSTIT 6X75ml</t>
  </si>
  <si>
    <t>LINEA ADOC SACARINA LIQ 12X100ml</t>
  </si>
  <si>
    <t>LINEA ADOC SUCRAL PO 24X50X0,8G</t>
  </si>
  <si>
    <t>LINEA ADOC SUCRAL PO 24X50X0,5g</t>
  </si>
  <si>
    <t>LINEA ADOC SUCRAL PO 24X70X0,5g</t>
  </si>
  <si>
    <t>LINEA ADOC SUCRAL PO 24X100X0,5g</t>
  </si>
  <si>
    <t>LINEA ADOC SUCRAL INSTIT 1000X0,5g</t>
  </si>
  <si>
    <t>LINEA ADOC SUCRAL INSTIT 500X0,5g</t>
  </si>
  <si>
    <t>LINEA ADOC SUCRAL PO L100P70 24X100X0,8G</t>
  </si>
  <si>
    <t>LINEA ADOC XILITOL PO 6X40X5g</t>
  </si>
  <si>
    <t>LINEA ADOC STEVIA PO L100P70 12X100X0,5g</t>
  </si>
  <si>
    <t>LINEA ADOC STEVIA PO 12X50X0,5g</t>
  </si>
  <si>
    <t>LINEA ADOC STEVIA INSTIT 500X0,5g</t>
  </si>
  <si>
    <t>LINEA BARRA CEREAIS BANANA C/ AVEIA 12X12X20g</t>
  </si>
  <si>
    <t>LINEA BARRA CEREAIS BANANA C/ AVEIA 12X3X20g</t>
  </si>
  <si>
    <t>LINEA BARRA CEREAIS MORANGO C/ IOG 12X12X20g</t>
  </si>
  <si>
    <t>LINEA BARRA CEREAIS MORANGO C/ IOG 12X3X20g</t>
  </si>
  <si>
    <t>LINEA BARRA CEREAIS NUTS C/ CHOCO 12X3X20g</t>
  </si>
  <si>
    <t>LINEA BARRA CEREAIS TRUFA CHOCOLATE 12X12X20g</t>
  </si>
  <si>
    <t>LINEA BARRA CEREAIS TRUFA CHOCOLATE 12X3X20g</t>
  </si>
  <si>
    <t>LINEA BARRA CEREAIS COOKIESN CREAM 12X12X20g</t>
  </si>
  <si>
    <t>LINEA BARRA CEREAIS COOKIESN CREAM 12X3X20g</t>
  </si>
  <si>
    <t>LINEA HUMMM BARRA PROT PACOCA 6X12X35g</t>
  </si>
  <si>
    <t>LINEA HUMMM BARRA PROT CHEESECAKE MO 6X12X35g</t>
  </si>
  <si>
    <t>LINEA HUMMM BARRA PROT BRIGADEIRO 6X12X20g</t>
  </si>
  <si>
    <t>LINEA HUMMM BARRA PROT DOCE DE LEITE 6X12X20g</t>
  </si>
  <si>
    <t>LINEA HUMMM BARRA PROT MARACUJA 6X12X20g</t>
  </si>
  <si>
    <t>LINEA HUMMM BARRA PROT BROWNIE 6X12X35g</t>
  </si>
  <si>
    <t>LINEA HUMMM BARRA PROT TORTA D LIMAO 6X12X35g</t>
  </si>
  <si>
    <t>LINEA HUMMM BARRA PROT TORTA DE LIMAO 6X12X20</t>
  </si>
  <si>
    <t>LINEA HUMMM BARRA PROT BIRTHDAY CAKE 1X12X20G</t>
  </si>
  <si>
    <t>LINEA HUMMM BARRA PROT BEIJINHO 6X12X20G</t>
  </si>
  <si>
    <t>LINEA HUMMM BARRA PROT BEIJINHO 6X12X20G     </t>
  </si>
  <si>
    <t>LINEA GELEIA MORANGO 6X2X230g</t>
  </si>
  <si>
    <t>LINEA GELEIA MORANGO 12X230g</t>
  </si>
  <si>
    <t>LINEA GELEIA DE PIMENTA VERMELHA 6X2X230g</t>
  </si>
  <si>
    <t>LINEA GELEIA DE PIMENTA VERMELHA 12X230g</t>
  </si>
  <si>
    <t>LINEA GELEIA DE FRUTAS VERMELHAS 12X230g</t>
  </si>
  <si>
    <t>LINEA GELEIA DE ABACAXI C/ HORTELA 12X230g</t>
  </si>
  <si>
    <t>LINEA GELEIA DE CEBOLA CARAMELIZADA 12X230g</t>
  </si>
  <si>
    <t>LINEA GELEIA DE UVA 6X2X230g</t>
  </si>
  <si>
    <t>LINEA GELEIA DE UVA 12X230g</t>
  </si>
  <si>
    <t>LINEA GELEIA DE MACA COM CANELA 12X230g</t>
  </si>
  <si>
    <t>LINEA GELEIA DAMASCO 12X230g</t>
  </si>
  <si>
    <t>LINEA GELEIA FRAMBOESA 12X230g</t>
  </si>
  <si>
    <t>LINEA GELEIA GOIABA 12X230g</t>
  </si>
  <si>
    <t>LINEA GELEIA AMORA 12X230g</t>
  </si>
  <si>
    <t>LINEA GELEIA JABUTICABA 12X230g</t>
  </si>
  <si>
    <t>LINEA GELEIA MIRTILO 12X230g</t>
  </si>
  <si>
    <t>LINEA SHAKE PREMIUM MORANGO 12X210g</t>
  </si>
  <si>
    <t>LINEA SHAKE PREMIUM CHOC 12X210g</t>
  </si>
  <si>
    <t>LINEA SHAKE PREMIUM BAUNILHA 12X210g</t>
  </si>
  <si>
    <t>LINEA SHAKE COOKIES'N CREAM 12X210g</t>
  </si>
  <si>
    <t>LINEA SHAKE IOGURT C FR VERM 12X210g</t>
  </si>
  <si>
    <t>LINEA CAPPUCCINO 12X150g</t>
  </si>
  <si>
    <t>LINEA ADOC SUCRAL CULIN 12X70g</t>
  </si>
  <si>
    <t>LINEA ADOC SUCRAL CULIN 4X400g</t>
  </si>
  <si>
    <t>LINEA ADOC SUCRAL CULIN 8X120g</t>
  </si>
  <si>
    <t>LINEA ADOC XILITOL PO 6X250g</t>
  </si>
  <si>
    <t>LINEA ADOC ERITRITOL PO 6X250g</t>
  </si>
  <si>
    <t>LINEA ACHOCOLATADO POTE 12X180g</t>
  </si>
  <si>
    <t>LINEA BISCOITO INTEG CACAU E CEREAIS 24X100g</t>
  </si>
  <si>
    <t>LINEA BISCOITO INTEG BANANA E CANELA 24X100g</t>
  </si>
  <si>
    <t>LINEA BISCOITO INTEG LARANJA E CENOUR 24X100g</t>
  </si>
  <si>
    <t>LINEA HUMMM WAFER PROT COOKIES 2X12X25g</t>
  </si>
  <si>
    <t>LINEA WAFER MERENGUE DE MORANGO 16X90g</t>
  </si>
  <si>
    <t>LINEA WAFER CHOCOLATE 16X90g</t>
  </si>
  <si>
    <t>LINEA WAFER CHURROS 16X90g</t>
  </si>
  <si>
    <t>LINEA HUMMM WAFER PROT CHOCOLATE 2X12X25g</t>
  </si>
  <si>
    <t>LINEA GELATINA MORANGO 6X4X10g</t>
  </si>
  <si>
    <t>LINEA GELATINA MORANGO 24X10g</t>
  </si>
  <si>
    <t>LINEA GELATINA LIMAO 24X10g</t>
  </si>
  <si>
    <t>LINEA GELATINA TANGERINA 24X10g</t>
  </si>
  <si>
    <t>LINEA GELATINA UVA 6X4X10g</t>
  </si>
  <si>
    <t>LINEA GELATINA UVA 24X10g</t>
  </si>
  <si>
    <t>LINEA GELATINA ABACAXI 24X10g</t>
  </si>
  <si>
    <t>LINEA GELATINA CEREJA 24X10g</t>
  </si>
  <si>
    <t>LINEA GELATINA MARACUJA 12X10g</t>
  </si>
  <si>
    <t>LINEA GELATINA TUTTI FRUTTI 12X10g</t>
  </si>
  <si>
    <t>LINEA LEITE CONDENSADO 12X210g</t>
  </si>
  <si>
    <t>LINEA PUDIM PO MORANGO 24X25g</t>
  </si>
  <si>
    <t>LINEA PUDIM PO CHOCOLATE 24X30g</t>
  </si>
  <si>
    <t>LINEA PUDIM PO BAUNILHA 24X25g</t>
  </si>
  <si>
    <t>LINEA PUDIM PO CARAMELO 24X25g</t>
  </si>
  <si>
    <t>LINEA PUDIM PO COCO 24X25g</t>
  </si>
  <si>
    <t>LINEA CHOC VEGANO BR C/ FR VERM 4X15X30g</t>
  </si>
  <si>
    <t>LINEA CHOC VEGANO LEITE C/ NIBS 4X15X30g</t>
  </si>
  <si>
    <t>LINEA CHOCO FAMILIAR AO LEITE 4X10X75g</t>
  </si>
  <si>
    <t>LINEA CHOCOLATE LEITE 4X15X30g</t>
  </si>
  <si>
    <t>LINEA CHOCO CULINARIO LEITE 8X250g</t>
  </si>
  <si>
    <t>LINEA CHOCOLATE LEITE 8X15X13g</t>
  </si>
  <si>
    <t>LINEA CHOCO FAMILIAR DARK 4X10X75g</t>
  </si>
  <si>
    <t>LINEA CHOCOLATE DARK 4X15X30g</t>
  </si>
  <si>
    <t>LINEA CHOCO CULINARIO DARK 8X250g</t>
  </si>
  <si>
    <t>LINEA CHOCOLATE DARK 8X15X13g</t>
  </si>
  <si>
    <t>LINEA CHOCO FAMILIAR BCO COOKIES 4X10X75g</t>
  </si>
  <si>
    <t>LINEA CHOCOLATE BRANCO 4X15X30g</t>
  </si>
  <si>
    <t>LINEA CHOCO CULINARIO BRANCO 8X250g</t>
  </si>
  <si>
    <t>LINEA CHOCOLATE BRANCO 8X15X13g</t>
  </si>
  <si>
    <t>LINEA CHOCOLATE LEITE ZERO LACT 4X15X30g</t>
  </si>
  <si>
    <t>LINEA CHOCOLATE LEITE ZERO LACT 8X15X13g</t>
  </si>
  <si>
    <t>LINEA CHOCOLATE BRANCO ZERO LACT 4X15X30g</t>
  </si>
  <si>
    <t>LINEA CHOCOLATE BCO COOKIES CR 4X15X30g</t>
  </si>
  <si>
    <t>LINEA CHOCOLATE BCO COOKIES CR 8X15X13g</t>
  </si>
  <si>
    <t>LINEA DOCE DE LEITE 12X210g</t>
  </si>
  <si>
    <t>LINEA DOCE DE LEITE COCO 12X210g</t>
  </si>
  <si>
    <t>LINEA MIST BOLO CHOCOL 8X300g</t>
  </si>
  <si>
    <t>LINEA MIST BOLO BAUNIL 8X300g</t>
  </si>
  <si>
    <t>LINEA MIST BOLO LARANJ 8X300g</t>
  </si>
  <si>
    <t>KETCHUP LINEA 12X350g</t>
  </si>
  <si>
    <t>LINEA MOLHO BARBECUE 12X350g</t>
  </si>
  <si>
    <t>LINEA MOLHO MOSTARDA 12X350g</t>
  </si>
  <si>
    <t>LINEA PIPOCA PRONT CHOCO 12X50g</t>
  </si>
  <si>
    <t>LINEA PIPOCA PRONT CARAM 12X50g</t>
  </si>
  <si>
    <t>LINEA ADOC STEVIA LIQ (50% DESC 2ª UNID) 60ml</t>
  </si>
  <si>
    <t>LINEA ADOC SUCRAL LIQ (50% DESC 2ª UNID) 75ml</t>
  </si>
  <si>
    <t>LINEA ADOC SUCRAL INSTIT COPA 1000X0,5g</t>
  </si>
  <si>
    <t>LINEA BOLO COCO MARI J 8X300g</t>
  </si>
  <si>
    <t>LINEA HUMMM BARRA PROT PACOCA 1X12X35g</t>
  </si>
  <si>
    <t>LINEA HUMMM BARRA PROT BRIGADEIRO 1X12X20g</t>
  </si>
  <si>
    <t>LINEA CHOCO FAMILIAR AO LEITE 10X75g</t>
  </si>
  <si>
    <t>CHOCOLATE IND AO LEITE LINEA 15 UNID 30g</t>
  </si>
  <si>
    <t>CHOCOLATE IND DARK LINEA 15 UNID DE 30g</t>
  </si>
  <si>
    <t>MINI CHOCOLATE LINEA DARK 15 UNIDADES DE 13g</t>
  </si>
  <si>
    <t>CHOCOLATE IND BRANCO LINEA 15 UNID DE 30g</t>
  </si>
  <si>
    <t>CHOCOLATE CULINARIO BRANCO LINEA 250g</t>
  </si>
  <si>
    <t>MINI CHOCOLATE LINEA BRANCO 15 UNID DE 13g</t>
  </si>
  <si>
    <t>LINEA CHOCOLATE FAMILIAR DARK 10X75g</t>
  </si>
  <si>
    <t>MINI CHOC LINEA AO LEITE ZERO LAC 15 UNID 13g</t>
  </si>
  <si>
    <t>LINEA CHOCO FAMILIAR BCO COOKIES 10X75g</t>
  </si>
  <si>
    <t>MINI CHOC LINEA COOKIES'N CREAM 15 UNID 13g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</si>
</sst>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\ * #,##0_-;\-&quot;R$&quot;\ * #,##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">
    <xf numFmtId="0" fontId="0" fillId="0" borderId="0" xfId="0"/>
    <xf numFmtId="164" fontId="3" fillId="0" borderId="0" xfId="3" applyNumberFormat="1" applyFont="1" applyFill="1" applyBorder="1" applyAlignment="1">
      <alignment vertical="center"/>
    </xf>
    <xf numFmtId="164" fontId="5" fillId="0" borderId="0" xfId="3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2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165" fontId="0" fillId="0" borderId="0" xfId="4" applyNumberFormat="1" applyFont="1"/>
    <xf numFmtId="164" fontId="3" fillId="0" borderId="0" xfId="3" applyNumberFormat="1" applyFont="1" applyFill="1" applyAlignment="1">
      <alignment vertical="center"/>
    </xf>
    <xf numFmtId="0" fontId="7" fillId="0" borderId="0" xfId="0" applyFont="1" applyAlignment="1">
      <alignment horizontal="center"/>
    </xf>
    <xf numFmtId="164" fontId="7" fillId="0" borderId="0" xfId="3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vertical="center"/>
    </xf>
  </cellXfs>
  <cellStyles count="5">
    <cellStyle name="Moeda" xfId="4" builtinId="4"/>
    <cellStyle name="Normal" xfId="0" builtinId="0"/>
    <cellStyle name="Normal 2" xfId="1" xr:uid="{00000000-0005-0000-0000-000001000000}"/>
    <cellStyle name="Normal_Plan1" xfId="2" xr:uid="{00000000-0005-0000-0000-000002000000}"/>
    <cellStyle name="Vírgula" xfId="3" builtinId="3"/>
  </cellStyles>
  <dxfs count="1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R$&quot;\ * #,##0_-;\-&quot;R$&quot;\ * #,##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4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eaalimentos.sharepoint.com/sites/PlanejamentoSOP2/Documentos%20Compartilhados/BD/Plano%20de%20Vendas/Tabela%20de%20Padroniza&#231;&#227;o%20Ecommerce%20-%20Maio%202026%20-%201.xlsx" TargetMode="External"/><Relationship Id="rId1" Type="http://schemas.openxmlformats.org/officeDocument/2006/relationships/externalLinkPath" Target="https://lineaalimentos.sharepoint.com/sites/PlanejamentoSOP2/Documentos%20Compartilhados/BD/Plano%20de%20Vendas/Tabela%20de%20Padroniza&#231;&#227;o%20Ecommerce%20-%20Maio%202026%20-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dronização 43"/>
      <sheetName val="Descontinuados"/>
      <sheetName val="Nunca Cadastrados no Ecommerce"/>
    </sheetNames>
    <sheetDataSet>
      <sheetData sheetId="0">
        <row r="1"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</row>
        <row r="2">
          <cell r="B2" t="str">
            <v>CÓD ECOM</v>
          </cell>
          <cell r="C2" t="str">
            <v>CÓDIGO</v>
          </cell>
          <cell r="D2" t="str">
            <v>DESCRIÇÃO PROTHEUS</v>
          </cell>
          <cell r="E2" t="str">
            <v>FORMATO DE VENDAS</v>
          </cell>
          <cell r="F2" t="str">
            <v>FOCO</v>
          </cell>
          <cell r="G2" t="str">
            <v>BU</v>
          </cell>
          <cell r="H2" t="str">
            <v>CATEGORIA</v>
          </cell>
          <cell r="I2" t="str">
            <v>SEGMENTO</v>
          </cell>
          <cell r="J2" t="str">
            <v>INTERNO/ COPACKER</v>
          </cell>
          <cell r="K2" t="str">
            <v>FORNECEDOR</v>
          </cell>
          <cell r="L2" t="str">
            <v>STATUS DA SKU</v>
          </cell>
          <cell r="M2" t="str">
            <v>ABC</v>
          </cell>
          <cell r="N2" t="str">
            <v>FOCO</v>
          </cell>
          <cell r="O2" t="str">
            <v xml:space="preserve">DESCRIÇÃO E-COMMERCE </v>
          </cell>
          <cell r="P2" t="str">
            <v>DESCRIÇÃO DO PRODUTO</v>
          </cell>
          <cell r="Q2" t="str">
            <v>QUANTIDADE
(Unids./Caixa)</v>
          </cell>
        </row>
        <row r="3">
          <cell r="B3">
            <v>430030004</v>
          </cell>
          <cell r="C3">
            <v>410030004</v>
          </cell>
          <cell r="D3" t="str">
            <v>LINEA BARRA CEREAIS BANANA C/ AVEIA 12X3X20G</v>
          </cell>
          <cell r="E3" t="str">
            <v>DISPLAY</v>
          </cell>
          <cell r="F3" t="str">
            <v>TODOS</v>
          </cell>
          <cell r="G3" t="str">
            <v>ALIMENTOS</v>
          </cell>
          <cell r="H3" t="str">
            <v>BARRAS</v>
          </cell>
          <cell r="I3" t="str">
            <v>BARRA CEREAIS</v>
          </cell>
          <cell r="J3" t="str">
            <v>COPACKER</v>
          </cell>
          <cell r="K3" t="str">
            <v>KOBBER</v>
          </cell>
          <cell r="L3" t="str">
            <v>ATIVO</v>
          </cell>
          <cell r="M3" t="str">
            <v>C</v>
          </cell>
          <cell r="N3" t="str">
            <v>TOTAL CLIENTES</v>
          </cell>
          <cell r="O3" t="str">
            <v>LINEA BARRA DE CEREAIS 3 GRÃOS INTEGRAIS BANANA COM AVEIA 3 UNIDADES</v>
          </cell>
          <cell r="P3" t="str">
            <v>BARRA SABOR BANANA COM AVEIA 12X3X20G</v>
          </cell>
          <cell r="Q3">
            <v>12</v>
          </cell>
        </row>
        <row r="4">
          <cell r="B4">
            <v>430030204</v>
          </cell>
          <cell r="C4">
            <v>410030204</v>
          </cell>
          <cell r="D4" t="str">
            <v>LINEA BARRA CEREAIS MORANGO C/ IOG 12X3X20G</v>
          </cell>
          <cell r="E4" t="str">
            <v>DISPLAY</v>
          </cell>
          <cell r="F4" t="str">
            <v>TODOS</v>
          </cell>
          <cell r="G4" t="str">
            <v>ALIMENTOS</v>
          </cell>
          <cell r="H4" t="str">
            <v>BARRAS</v>
          </cell>
          <cell r="I4" t="str">
            <v>BARRA CEREAIS</v>
          </cell>
          <cell r="J4" t="str">
            <v>COPACKER</v>
          </cell>
          <cell r="K4" t="str">
            <v>KOBBER</v>
          </cell>
          <cell r="L4" t="str">
            <v>ATIVO</v>
          </cell>
          <cell r="M4" t="str">
            <v>C</v>
          </cell>
          <cell r="N4" t="str">
            <v>TOTAL CLIENTES</v>
          </cell>
          <cell r="O4" t="str">
            <v>LINEA BARRA DE CEREAIS 3 GRÃOS INTEGRAIS MORANGO COM IOGURTE 3 UNIDADES</v>
          </cell>
          <cell r="P4" t="str">
            <v>BARRA SABOR MORANGO COM IOGURTE 12X3X20G</v>
          </cell>
          <cell r="Q4">
            <v>12</v>
          </cell>
        </row>
        <row r="5">
          <cell r="B5">
            <v>430030304</v>
          </cell>
          <cell r="C5">
            <v>410030304</v>
          </cell>
          <cell r="D5" t="str">
            <v>LINEA BARRA CEREAIS NUTS C/ CHOCO 12X3X20G</v>
          </cell>
          <cell r="E5" t="str">
            <v>DISPLAY</v>
          </cell>
          <cell r="F5" t="str">
            <v>TODOS</v>
          </cell>
          <cell r="G5" t="str">
            <v>ALIMENTOS</v>
          </cell>
          <cell r="H5" t="str">
            <v>BARRAS</v>
          </cell>
          <cell r="I5" t="str">
            <v>BARRA CEREAIS</v>
          </cell>
          <cell r="J5" t="str">
            <v>COPACKER</v>
          </cell>
          <cell r="K5" t="str">
            <v>KOBBER</v>
          </cell>
          <cell r="L5" t="str">
            <v>ATIVO</v>
          </cell>
          <cell r="M5" t="str">
            <v>C</v>
          </cell>
          <cell r="N5" t="str">
            <v>TOTAL CLIENTES</v>
          </cell>
          <cell r="O5" t="str">
            <v>LINEA BARRA DE CEREAIS 3 GRÃOS INTEGRAIS NUTS COM CHOCOLATE 3 UNIDADES</v>
          </cell>
          <cell r="P5" t="str">
            <v>BARRA SABOR NUTS COM COBERTURA DE CHOCOLATE 12X3X20G</v>
          </cell>
          <cell r="Q5">
            <v>12</v>
          </cell>
        </row>
        <row r="6">
          <cell r="B6">
            <v>430030604</v>
          </cell>
          <cell r="C6">
            <v>410030604</v>
          </cell>
          <cell r="D6" t="str">
            <v>LINEA BARRA CEREAIS TRUFA CHOCOLATE 12X3X20G</v>
          </cell>
          <cell r="E6" t="str">
            <v>DISPLAY</v>
          </cell>
          <cell r="F6" t="str">
            <v>TODOS</v>
          </cell>
          <cell r="G6" t="str">
            <v>ALIMENTOS</v>
          </cell>
          <cell r="H6" t="str">
            <v>BARRAS</v>
          </cell>
          <cell r="I6" t="str">
            <v>BARRA CEREAIS</v>
          </cell>
          <cell r="J6" t="str">
            <v>COPACKER</v>
          </cell>
          <cell r="K6" t="str">
            <v>KOBBER</v>
          </cell>
          <cell r="L6" t="str">
            <v>ATIVO</v>
          </cell>
          <cell r="M6" t="str">
            <v>C</v>
          </cell>
          <cell r="N6" t="str">
            <v>TOTAL CLIENTES</v>
          </cell>
          <cell r="O6" t="str">
            <v>LINEA BARRA DE CEREAIS 3 GRÃOS INTEGRAIS TRUFA DE CHOCOLATE 3 UNIDADES</v>
          </cell>
          <cell r="P6" t="str">
            <v>BARRA SABOR  TRUFA COM COBERTURA DE CHOCOLATE 12X3X20G</v>
          </cell>
          <cell r="Q6">
            <v>12</v>
          </cell>
        </row>
        <row r="7">
          <cell r="B7">
            <v>430030704</v>
          </cell>
          <cell r="C7">
            <v>410030704</v>
          </cell>
          <cell r="D7" t="str">
            <v>LINEA BARRA CEREAIS COOKIES'N CREAM 12X3X20G</v>
          </cell>
          <cell r="E7" t="str">
            <v>DISPLAY</v>
          </cell>
          <cell r="F7" t="str">
            <v>TODOS</v>
          </cell>
          <cell r="G7" t="str">
            <v>ALIMENTOS</v>
          </cell>
          <cell r="H7" t="str">
            <v>BARRAS</v>
          </cell>
          <cell r="I7" t="str">
            <v>BARRA CEREAIS</v>
          </cell>
          <cell r="J7" t="str">
            <v>COPACKER</v>
          </cell>
          <cell r="K7" t="str">
            <v>KOBBER</v>
          </cell>
          <cell r="L7" t="str">
            <v>ATIVO</v>
          </cell>
          <cell r="M7" t="str">
            <v>C</v>
          </cell>
          <cell r="N7" t="str">
            <v>TOTAL CLIENTES</v>
          </cell>
          <cell r="O7" t="str">
            <v>LINEA BARRA DE CEREAIS 3 GRÃOS INTEGRAIS COOKIES'N CREAM 3 UNIDADES</v>
          </cell>
          <cell r="P7" t="str">
            <v>BARRA SABOR COOKIES'N CREAM COM COBERTURA DE CHOCOLATE BRANCO 12X3X20G</v>
          </cell>
          <cell r="Q7">
            <v>12</v>
          </cell>
        </row>
        <row r="8">
          <cell r="B8">
            <v>430030002</v>
          </cell>
          <cell r="C8">
            <v>410030002</v>
          </cell>
          <cell r="D8" t="str">
            <v>LINEA BARRA CEREAIS BANANA C/ AVEIA 12X12X20G</v>
          </cell>
          <cell r="E8" t="str">
            <v>DISPLAY</v>
          </cell>
          <cell r="F8" t="str">
            <v>TODOS</v>
          </cell>
          <cell r="G8" t="str">
            <v>ALIMENTOS</v>
          </cell>
          <cell r="H8" t="str">
            <v>BARRAS</v>
          </cell>
          <cell r="I8" t="str">
            <v>BARRA CEREAIS</v>
          </cell>
          <cell r="J8" t="str">
            <v>COPACKER</v>
          </cell>
          <cell r="K8" t="str">
            <v>KOBBER</v>
          </cell>
          <cell r="L8" t="str">
            <v>ATIVO</v>
          </cell>
          <cell r="M8" t="str">
            <v>B</v>
          </cell>
          <cell r="N8" t="str">
            <v>TOTAL CLIENTES</v>
          </cell>
          <cell r="O8" t="str">
            <v>LINEA BARRA DE CEREAIS 3 GRÃOS INTEGRAIS BANANA COM AVEIA 12 UNIDADES</v>
          </cell>
          <cell r="P8" t="str">
            <v>BARRA SABOR BANANA COM AVEIA 12X12X20G</v>
          </cell>
          <cell r="Q8">
            <v>144</v>
          </cell>
        </row>
        <row r="9">
          <cell r="B9">
            <v>430030202</v>
          </cell>
          <cell r="C9">
            <v>410030202</v>
          </cell>
          <cell r="D9" t="str">
            <v>LINEA BARRA CEREAIS MORANGO C/ IOG 12X12X20G</v>
          </cell>
          <cell r="E9" t="str">
            <v>DISPLAY</v>
          </cell>
          <cell r="F9" t="str">
            <v>TODOS</v>
          </cell>
          <cell r="G9" t="str">
            <v>ALIMENTOS</v>
          </cell>
          <cell r="H9" t="str">
            <v>BARRAS</v>
          </cell>
          <cell r="I9" t="str">
            <v>BARRA CEREAIS</v>
          </cell>
          <cell r="J9" t="str">
            <v>COPACKER</v>
          </cell>
          <cell r="K9" t="str">
            <v>KOBBER</v>
          </cell>
          <cell r="L9" t="str">
            <v>ATIVO</v>
          </cell>
          <cell r="M9" t="str">
            <v>B</v>
          </cell>
          <cell r="N9" t="str">
            <v>TOTAL CLIENTES</v>
          </cell>
          <cell r="O9" t="str">
            <v>LINEA BARRA DE CEREAIS 3 GRÃOS INTEGRAIS MORANGO COM IOGURTE12 UNIDADES</v>
          </cell>
          <cell r="P9" t="str">
            <v>BARRA SABOR MORANGO COM IOGURTE 12X12X20G</v>
          </cell>
          <cell r="Q9">
            <v>144</v>
          </cell>
        </row>
        <row r="10">
          <cell r="B10">
            <v>430030302</v>
          </cell>
          <cell r="C10">
            <v>410030302</v>
          </cell>
          <cell r="D10" t="str">
            <v>LINEA BARRA CEREAIS NUTS C/ CHOCO 12X12X20G</v>
          </cell>
          <cell r="E10" t="str">
            <v>DISPLAY</v>
          </cell>
          <cell r="F10" t="str">
            <v>TODOS</v>
          </cell>
          <cell r="G10" t="str">
            <v>ALIMENTOS</v>
          </cell>
          <cell r="H10" t="str">
            <v>BARRAS</v>
          </cell>
          <cell r="I10" t="str">
            <v>BARRA CEREAIS</v>
          </cell>
          <cell r="J10" t="str">
            <v>COPACKER</v>
          </cell>
          <cell r="K10" t="str">
            <v>KOBBER</v>
          </cell>
          <cell r="L10" t="str">
            <v>ATIVO</v>
          </cell>
          <cell r="M10" t="str">
            <v>B</v>
          </cell>
          <cell r="N10" t="str">
            <v>TOTAL CLIENTES</v>
          </cell>
          <cell r="O10" t="str">
            <v>LINEA BARRA DE CEREAIS 3 GRÃOS INTEGRAIS NUTS COM CHOCOLATE  12 UNIDADES</v>
          </cell>
          <cell r="P10" t="str">
            <v>BARRA SABOR NUTS COM COBERTURA DE CHOCOLATE 12X12X20G</v>
          </cell>
          <cell r="Q10">
            <v>144</v>
          </cell>
        </row>
        <row r="11">
          <cell r="B11">
            <v>430030602</v>
          </cell>
          <cell r="C11">
            <v>410030602</v>
          </cell>
          <cell r="D11" t="str">
            <v>LINEA BARRA CEREAIS TRUFA CHOCOLATE 12X12X20G</v>
          </cell>
          <cell r="E11" t="str">
            <v>DISPLAY</v>
          </cell>
          <cell r="F11" t="str">
            <v>TODOS</v>
          </cell>
          <cell r="G11" t="str">
            <v>ALIMENTOS</v>
          </cell>
          <cell r="H11" t="str">
            <v>BARRAS</v>
          </cell>
          <cell r="I11" t="str">
            <v>BARRA CEREAIS</v>
          </cell>
          <cell r="J11" t="str">
            <v>COPACKER</v>
          </cell>
          <cell r="K11" t="str">
            <v>KOBBER</v>
          </cell>
          <cell r="L11" t="str">
            <v>ATIVO</v>
          </cell>
          <cell r="M11" t="str">
            <v>B</v>
          </cell>
          <cell r="N11" t="str">
            <v>TOTAL CLIENTES</v>
          </cell>
          <cell r="O11" t="str">
            <v>LINEA BARRA DE CEREAIS 3 GRÃOS INTEGRAIS TRUFA DE CHOCOLATE  12 UNIDADES</v>
          </cell>
          <cell r="P11" t="str">
            <v>BARRA SABOR TRUFA COM COBERTURA DE CHOCOLATE 12X12X20G</v>
          </cell>
          <cell r="Q11">
            <v>144</v>
          </cell>
        </row>
        <row r="12">
          <cell r="B12">
            <v>430030702</v>
          </cell>
          <cell r="C12">
            <v>410030702</v>
          </cell>
          <cell r="D12" t="str">
            <v>LINEA BARRA CEREAIS COOKIES'N CREAM 12X12X20G</v>
          </cell>
          <cell r="E12" t="str">
            <v>DISPLAY</v>
          </cell>
          <cell r="F12" t="str">
            <v>TODOS</v>
          </cell>
          <cell r="G12" t="str">
            <v>ALIMENTOS</v>
          </cell>
          <cell r="H12" t="str">
            <v>BARRAS</v>
          </cell>
          <cell r="I12" t="str">
            <v>BARRA CEREAIS</v>
          </cell>
          <cell r="J12" t="str">
            <v>COPACKER</v>
          </cell>
          <cell r="K12" t="str">
            <v>KOBBER</v>
          </cell>
          <cell r="L12" t="str">
            <v>ATIVO</v>
          </cell>
          <cell r="M12" t="str">
            <v>C</v>
          </cell>
          <cell r="N12" t="str">
            <v>TOTAL CLIENTES</v>
          </cell>
          <cell r="O12" t="str">
            <v>LINEA BARRA DE CEREAIS 3 GRÃOS INTEGRAIS COOKIES'N CREAM 12 UNIDADES</v>
          </cell>
          <cell r="P12" t="str">
            <v>BARRA SABOR COOKIES'N CREAM COM COBERTURA DE CHOCOLATE BRANCO 12X12X20G</v>
          </cell>
          <cell r="Q12">
            <v>144</v>
          </cell>
        </row>
        <row r="13">
          <cell r="B13">
            <v>430032408</v>
          </cell>
          <cell r="C13">
            <v>410032408</v>
          </cell>
          <cell r="D13" t="str">
            <v>LINEA HUMMM BARRA SORTIDA 6X12X35G</v>
          </cell>
          <cell r="E13" t="str">
            <v>DISPLAY</v>
          </cell>
          <cell r="F13" t="str">
            <v>E-COMMERCE</v>
          </cell>
          <cell r="G13" t="str">
            <v>ALIMENTOS</v>
          </cell>
          <cell r="H13" t="str">
            <v>BARRAS</v>
          </cell>
          <cell r="I13" t="str">
            <v>BARRA PROTEÍNA</v>
          </cell>
          <cell r="J13" t="str">
            <v>COPACKER</v>
          </cell>
          <cell r="K13" t="str">
            <v>MIX NUTRI</v>
          </cell>
          <cell r="L13" t="str">
            <v>ATIVO</v>
          </cell>
          <cell r="M13" t="str">
            <v>LANÇAMENTO</v>
          </cell>
          <cell r="N13"/>
          <cell r="O13" t="str">
            <v>LINEA HUMMM BARRA DE PROTEINA SORTIDA 35G</v>
          </cell>
          <cell r="P13" t="str">
            <v>BARRA HUMMM PROTEICA SORTIDA 6X12X35G</v>
          </cell>
          <cell r="Q13">
            <v>72</v>
          </cell>
        </row>
        <row r="14">
          <cell r="B14">
            <v>430032409</v>
          </cell>
          <cell r="C14">
            <v>410032409</v>
          </cell>
          <cell r="D14" t="str">
            <v xml:space="preserve">LINEA HUMMM BARRA SORTIDA 6X12X20G </v>
          </cell>
          <cell r="E14" t="str">
            <v>DISPLAY</v>
          </cell>
          <cell r="F14" t="str">
            <v>E-COMMERCE</v>
          </cell>
          <cell r="G14" t="str">
            <v>ALIMENTOS</v>
          </cell>
          <cell r="H14" t="str">
            <v>BARRAS</v>
          </cell>
          <cell r="I14" t="str">
            <v>BARRA PROTEÍNA</v>
          </cell>
          <cell r="J14" t="str">
            <v>COPACKER</v>
          </cell>
          <cell r="K14" t="str">
            <v>MIX NUTRI</v>
          </cell>
          <cell r="L14" t="str">
            <v>ATIVO</v>
          </cell>
          <cell r="M14" t="str">
            <v>LANÇAMENTO</v>
          </cell>
          <cell r="N14"/>
          <cell r="O14" t="str">
            <v>LINEA HUMMM BARRA DE PROTEINA SORTIDA 20G</v>
          </cell>
          <cell r="P14" t="str">
            <v>LINEA HUMMM BARRA DE PROTEINA SORTIDA 6X12X20G</v>
          </cell>
          <cell r="Q14">
            <v>72</v>
          </cell>
        </row>
        <row r="15">
          <cell r="B15">
            <v>430030910</v>
          </cell>
          <cell r="C15">
            <v>410030908</v>
          </cell>
          <cell r="D15" t="str">
            <v>LINEA HUMMM BARRA PROT PACOCA 6X12X35G</v>
          </cell>
          <cell r="E15" t="str">
            <v>DISPLAY</v>
          </cell>
          <cell r="F15" t="str">
            <v>TODOS</v>
          </cell>
          <cell r="G15" t="str">
            <v>ALIMENTOS</v>
          </cell>
          <cell r="H15" t="str">
            <v>BARRAS</v>
          </cell>
          <cell r="I15" t="str">
            <v>BARRA PROTEÍNA</v>
          </cell>
          <cell r="J15" t="str">
            <v>COPACKER</v>
          </cell>
          <cell r="K15" t="str">
            <v>MIX NUTRI</v>
          </cell>
          <cell r="L15" t="str">
            <v>ATIVO</v>
          </cell>
          <cell r="M15" t="str">
            <v>LANÇAMENTO</v>
          </cell>
          <cell r="N15"/>
          <cell r="O15" t="str">
            <v>LINEA HUMMM BARRA DE PROTEINA PAÇOCA 35G</v>
          </cell>
          <cell r="P15" t="str">
            <v>BARRA HUMMM PROTEICA SABOR PAÇOCA 6X12X35G</v>
          </cell>
          <cell r="Q15">
            <v>72</v>
          </cell>
        </row>
        <row r="16">
          <cell r="B16">
            <v>430031010</v>
          </cell>
          <cell r="C16">
            <v>410031008</v>
          </cell>
          <cell r="D16" t="str">
            <v>LINEA HUMMM BARRA PROT COOKIES CREAM 6X12X35G</v>
          </cell>
          <cell r="E16" t="str">
            <v>DISPLAY</v>
          </cell>
          <cell r="F16" t="str">
            <v>TODOS</v>
          </cell>
          <cell r="G16" t="str">
            <v>ALIMENTOS</v>
          </cell>
          <cell r="H16" t="str">
            <v>BARRAS</v>
          </cell>
          <cell r="I16" t="str">
            <v>BARRA PROTEÍNA</v>
          </cell>
          <cell r="J16" t="str">
            <v>COPACKER</v>
          </cell>
          <cell r="K16" t="str">
            <v>MIX NUTRI</v>
          </cell>
          <cell r="L16" t="str">
            <v>ATIVO</v>
          </cell>
          <cell r="M16" t="str">
            <v>LANÇAMENTO</v>
          </cell>
          <cell r="N16"/>
          <cell r="O16" t="str">
            <v>LINEA HUMMM BARRA DE PROTEINA COOKIES'N CREAM 35G</v>
          </cell>
          <cell r="P16" t="str">
            <v>BARRA HUMMM PROTEICA SABOR COOKIES'N CREAM 6X12X35G</v>
          </cell>
          <cell r="Q16">
            <v>72</v>
          </cell>
        </row>
        <row r="17">
          <cell r="B17">
            <v>430031110</v>
          </cell>
          <cell r="C17">
            <v>410031108</v>
          </cell>
          <cell r="D17" t="str">
            <v>LINEA HUMMM BARRA PROT CHEESECAKE MO 6X12X35G</v>
          </cell>
          <cell r="E17" t="str">
            <v>DISPLAY</v>
          </cell>
          <cell r="F17" t="str">
            <v>TODOS</v>
          </cell>
          <cell r="G17" t="str">
            <v>ALIMENTOS</v>
          </cell>
          <cell r="H17" t="str">
            <v>BARRAS</v>
          </cell>
          <cell r="I17" t="str">
            <v>BARRA PROTEÍNA</v>
          </cell>
          <cell r="J17" t="str">
            <v>COPACKER</v>
          </cell>
          <cell r="K17" t="str">
            <v>MIX NUTRI</v>
          </cell>
          <cell r="L17" t="str">
            <v>ATIVO</v>
          </cell>
          <cell r="M17" t="str">
            <v>LANÇAMENTO</v>
          </cell>
          <cell r="N17"/>
          <cell r="O17" t="str">
            <v>LINEA HUMMM BARRA DE PROTEINA CHEESECAKE MORANGO 35G</v>
          </cell>
          <cell r="P17" t="str">
            <v>BARRA HUMMM PROTEICA SABOR CHEESECAKE MORANGO 6X12X35G</v>
          </cell>
          <cell r="Q17">
            <v>72</v>
          </cell>
        </row>
        <row r="18">
          <cell r="B18">
            <v>430031210</v>
          </cell>
          <cell r="C18">
            <v>410031208</v>
          </cell>
          <cell r="D18" t="str">
            <v>LINEA HUMMM BARRA PROT CREME AVELÃ 6X12X35G</v>
          </cell>
          <cell r="E18" t="str">
            <v>DISPLAY</v>
          </cell>
          <cell r="F18" t="str">
            <v>TODOS</v>
          </cell>
          <cell r="G18" t="str">
            <v>ALIMENTOS</v>
          </cell>
          <cell r="H18" t="str">
            <v>BARRAS</v>
          </cell>
          <cell r="I18" t="str">
            <v>BARRA PROTEÍNA</v>
          </cell>
          <cell r="J18" t="str">
            <v>COPACKER</v>
          </cell>
          <cell r="K18" t="str">
            <v>MIX NUTRI</v>
          </cell>
          <cell r="L18" t="str">
            <v>ATIVO</v>
          </cell>
          <cell r="M18" t="str">
            <v>LANÇAMENTO</v>
          </cell>
          <cell r="N18"/>
          <cell r="O18" t="str">
            <v>LINEA HUMMM BARRA DE PROTEINA CREME DE AVELÃ 35G</v>
          </cell>
          <cell r="P18" t="str">
            <v>BARRA HUMMM PROTEICA SABOR CREME DE AVELÃ 6X12X35G</v>
          </cell>
          <cell r="Q18">
            <v>72</v>
          </cell>
        </row>
        <row r="19">
          <cell r="B19">
            <v>430031810</v>
          </cell>
          <cell r="C19">
            <v>410031709</v>
          </cell>
          <cell r="D19" t="str">
            <v>LINEA HUMMM BARRA PROT BRIGADEIRO 6X12X20G</v>
          </cell>
          <cell r="E19" t="str">
            <v>DISPLAY</v>
          </cell>
          <cell r="F19" t="str">
            <v>TODOS</v>
          </cell>
          <cell r="G19" t="str">
            <v>ALIMENTOS</v>
          </cell>
          <cell r="H19" t="str">
            <v>BARRAS</v>
          </cell>
          <cell r="I19" t="str">
            <v>BARRA PROTEÍNA</v>
          </cell>
          <cell r="J19" t="str">
            <v>COPACKER</v>
          </cell>
          <cell r="K19" t="str">
            <v>MIX NUTRI</v>
          </cell>
          <cell r="L19" t="str">
            <v>ATIVO</v>
          </cell>
          <cell r="M19" t="str">
            <v>LANÇAMENTO</v>
          </cell>
          <cell r="N19"/>
          <cell r="O19" t="str">
            <v>LINEA HUMMM BARRA DE PROTEINA  BRIGADEIRO 20G</v>
          </cell>
          <cell r="P19" t="str">
            <v>BARRA HUMMM PROTEICA SABOR BRIGADEIRO 6X12X20G</v>
          </cell>
          <cell r="Q19">
            <v>72</v>
          </cell>
        </row>
        <row r="20">
          <cell r="B20">
            <v>430031812</v>
          </cell>
          <cell r="C20">
            <v>410031809</v>
          </cell>
          <cell r="D20" t="str">
            <v>LINEA HUMMM BARRA PROT BANOFFEE 6X12X20G</v>
          </cell>
          <cell r="E20" t="str">
            <v>DISPLAY</v>
          </cell>
          <cell r="F20" t="str">
            <v>TODOS</v>
          </cell>
          <cell r="G20" t="str">
            <v>ALIMENTOS</v>
          </cell>
          <cell r="H20" t="str">
            <v>BARRAS</v>
          </cell>
          <cell r="I20" t="str">
            <v>BARRA PROTEÍNA</v>
          </cell>
          <cell r="J20" t="str">
            <v>COPACKER</v>
          </cell>
          <cell r="K20" t="str">
            <v>MIX NUTRI</v>
          </cell>
          <cell r="L20" t="str">
            <v>ATIVO</v>
          </cell>
          <cell r="M20" t="str">
            <v>LANÇAMENTO</v>
          </cell>
          <cell r="N20"/>
          <cell r="O20" t="str">
            <v>LINEA HUMMM BARRA DE PROTEINA BANOFFEE 20G</v>
          </cell>
          <cell r="P20" t="str">
            <v>BARRA HUMMM PROTEICA SABOR BANOFFEE 6X12X20G</v>
          </cell>
          <cell r="Q20">
            <v>72</v>
          </cell>
        </row>
        <row r="21">
          <cell r="B21">
            <v>430031912</v>
          </cell>
          <cell r="C21">
            <v>410031909</v>
          </cell>
          <cell r="D21" t="str">
            <v>LINEA HUMMM BARRA PROT DOCE DE LEITE 6X12X20G</v>
          </cell>
          <cell r="E21" t="str">
            <v>DISPLAY</v>
          </cell>
          <cell r="F21" t="str">
            <v>TODOS</v>
          </cell>
          <cell r="G21" t="str">
            <v>ALIMENTOS</v>
          </cell>
          <cell r="H21" t="str">
            <v>BARRAS</v>
          </cell>
          <cell r="I21" t="str">
            <v>BARRA PROTEÍNA</v>
          </cell>
          <cell r="J21" t="str">
            <v>COPACKER</v>
          </cell>
          <cell r="K21" t="str">
            <v>MIX NUTRI</v>
          </cell>
          <cell r="L21" t="str">
            <v>ATIVO</v>
          </cell>
          <cell r="M21" t="str">
            <v>LANÇAMENTO</v>
          </cell>
          <cell r="N21"/>
          <cell r="O21" t="str">
            <v>LINEA HUMMM BARRA DE PROTEINA DOCE DE LEITE 20G</v>
          </cell>
          <cell r="P21" t="str">
            <v>BARRA HUMMM PROTEICA SABOR DOCE DE LEITE 6X12X20G</v>
          </cell>
          <cell r="Q21">
            <v>72</v>
          </cell>
        </row>
        <row r="22">
          <cell r="B22">
            <v>430032012</v>
          </cell>
          <cell r="C22">
            <v>410032009</v>
          </cell>
          <cell r="D22" t="str">
            <v>LINEA HUMMM BARRA PROT MARACUJÁ 6X12X20G</v>
          </cell>
          <cell r="E22" t="str">
            <v>DISPLAY</v>
          </cell>
          <cell r="F22" t="str">
            <v>TODOS</v>
          </cell>
          <cell r="G22" t="str">
            <v>ALIMENTOS</v>
          </cell>
          <cell r="H22" t="str">
            <v>BARRAS</v>
          </cell>
          <cell r="I22" t="str">
            <v>BARRA PROTEÍNA</v>
          </cell>
          <cell r="J22" t="str">
            <v>COPACKER</v>
          </cell>
          <cell r="K22" t="str">
            <v>MIX NUTRI</v>
          </cell>
          <cell r="L22" t="str">
            <v>ATIVO</v>
          </cell>
          <cell r="M22" t="str">
            <v>LANÇAMENTO</v>
          </cell>
          <cell r="N22"/>
          <cell r="O22" t="str">
            <v>LINEA HUMMM BARRA DE PROTEINA MARACUJÁ 20G</v>
          </cell>
          <cell r="P22" t="str">
            <v>BARRA HUMMM PROTEICA SABOR MARACUJÁ 6X12X20G</v>
          </cell>
          <cell r="Q22">
            <v>72</v>
          </cell>
        </row>
        <row r="23">
          <cell r="B23">
            <v>430032110</v>
          </cell>
          <cell r="C23">
            <v>410032108</v>
          </cell>
          <cell r="D23" t="str">
            <v>LINEA HUMMM BARRA PROT BROWNIE 6X12X35G</v>
          </cell>
          <cell r="E23" t="str">
            <v>DISPLAY</v>
          </cell>
          <cell r="F23" t="str">
            <v>TODOS</v>
          </cell>
          <cell r="G23" t="str">
            <v>ALIMENTOS</v>
          </cell>
          <cell r="H23" t="str">
            <v>BARRAS</v>
          </cell>
          <cell r="I23" t="str">
            <v>BARRA PROTEÍNA</v>
          </cell>
          <cell r="J23" t="str">
            <v>COPACKER</v>
          </cell>
          <cell r="K23" t="str">
            <v>MIX NUTRI</v>
          </cell>
          <cell r="L23" t="str">
            <v>ATIVO</v>
          </cell>
          <cell r="M23" t="str">
            <v>LANÇAMENTO</v>
          </cell>
          <cell r="N23"/>
          <cell r="O23" t="str">
            <v>LINEA HUMMM BARRA DE PROTEINA BROWNIE 35G</v>
          </cell>
          <cell r="P23" t="str">
            <v>BARRA HUMMM PROTEICA SABOR BROWNIE 6X12X35G</v>
          </cell>
          <cell r="Q23">
            <v>72</v>
          </cell>
        </row>
        <row r="24">
          <cell r="B24">
            <v>430032208</v>
          </cell>
          <cell r="C24">
            <v>410032208</v>
          </cell>
          <cell r="D24" t="str">
            <v>LINEA HUMMM BARRA PROT TORTA D LIMÃO 6X12X35G</v>
          </cell>
          <cell r="E24" t="str">
            <v>DISPLAY</v>
          </cell>
          <cell r="F24" t="str">
            <v>TODOS</v>
          </cell>
          <cell r="G24" t="str">
            <v>ALIMENTOS</v>
          </cell>
          <cell r="H24" t="str">
            <v>BARRAS</v>
          </cell>
          <cell r="I24" t="str">
            <v>BARRA PROTEÍNA</v>
          </cell>
          <cell r="J24" t="str">
            <v>COPACKER</v>
          </cell>
          <cell r="K24" t="str">
            <v>MIX NUTRI</v>
          </cell>
          <cell r="L24" t="str">
            <v>ATIVO</v>
          </cell>
          <cell r="M24" t="str">
            <v>LANÇAMENTO</v>
          </cell>
          <cell r="N24"/>
          <cell r="O24" t="str">
            <v>LINEA HUMMM BARRA DE PROTEINA TORTA DE LIMÃO 35G</v>
          </cell>
          <cell r="P24" t="str">
            <v>BARRA HUMMM PROTEICA SABOR TORTA DE LIMÃO 6X12X35G</v>
          </cell>
          <cell r="Q24">
            <v>72</v>
          </cell>
        </row>
        <row r="25">
          <cell r="B25">
            <v>430032509</v>
          </cell>
          <cell r="C25">
            <v>410032509</v>
          </cell>
          <cell r="D25" t="str">
            <v>LINEA HUMMM BARRA PROT BIRTHDAY CAKE 6X12X20G</v>
          </cell>
          <cell r="E25" t="str">
            <v>DISPLAY</v>
          </cell>
          <cell r="F25" t="str">
            <v>TODOS</v>
          </cell>
          <cell r="G25" t="str">
            <v>ALIMENTOS</v>
          </cell>
          <cell r="H25" t="str">
            <v>BARRAS</v>
          </cell>
          <cell r="I25" t="str">
            <v>BARRA PROTEÍNA</v>
          </cell>
          <cell r="J25" t="str">
            <v>COPACKER</v>
          </cell>
          <cell r="K25" t="str">
            <v>MIX NUTRI</v>
          </cell>
          <cell r="L25" t="str">
            <v>ATIVO</v>
          </cell>
          <cell r="M25" t="str">
            <v>LANÇAMENTO</v>
          </cell>
          <cell r="N25"/>
          <cell r="O25" t="str">
            <v>LINEA HUMMM BARRA DE PROTEINA BIRTHDAY CAKE 20G</v>
          </cell>
          <cell r="P25" t="str">
            <v>LINEA HUMMM BARRA DE PROTEINA BIRTHDAY CAKE 6X12X20G</v>
          </cell>
          <cell r="Q25">
            <v>72</v>
          </cell>
        </row>
        <row r="26">
          <cell r="B26">
            <v>430032609</v>
          </cell>
          <cell r="C26">
            <v>410032609</v>
          </cell>
          <cell r="D26" t="str">
            <v xml:space="preserve">LINEA HUMMM BARRA PROT BEIJINHO 6X12X20G     </v>
          </cell>
          <cell r="E26" t="str">
            <v>DISPLAY</v>
          </cell>
          <cell r="F26" t="str">
            <v>TODOS</v>
          </cell>
          <cell r="G26" t="str">
            <v>ALIMENTOS</v>
          </cell>
          <cell r="H26" t="str">
            <v>BARRAS</v>
          </cell>
          <cell r="I26" t="str">
            <v>BARRA PROTEÍNA</v>
          </cell>
          <cell r="J26" t="str">
            <v>COPACKER</v>
          </cell>
          <cell r="K26" t="str">
            <v>MIX NUTRI</v>
          </cell>
          <cell r="L26" t="str">
            <v>ATIVO</v>
          </cell>
          <cell r="M26" t="str">
            <v>LANÇAMENTO</v>
          </cell>
          <cell r="N26"/>
          <cell r="O26" t="str">
            <v>LINEA HUMMM BARRA DE PROTEINA BEIJINHO 20G</v>
          </cell>
          <cell r="P26" t="str">
            <v>LINEA HUMMM BARRA DE PROTEINA BEIJINHO 6X12X20G</v>
          </cell>
          <cell r="Q26">
            <v>72</v>
          </cell>
        </row>
        <row r="27">
          <cell r="B27">
            <v>430313464</v>
          </cell>
          <cell r="C27">
            <v>410313464</v>
          </cell>
          <cell r="D27" t="str">
            <v>LINEA CHOCOLATE LEITE 4X15X30G</v>
          </cell>
          <cell r="E27" t="str">
            <v>DISPLAY</v>
          </cell>
          <cell r="F27" t="str">
            <v>TODOS</v>
          </cell>
          <cell r="G27" t="str">
            <v>ALIMENTOS</v>
          </cell>
          <cell r="H27" t="str">
            <v>CHOCOLATES</v>
          </cell>
          <cell r="I27" t="str">
            <v>IMPULSO</v>
          </cell>
          <cell r="J27" t="str">
            <v>COPACKER</v>
          </cell>
          <cell r="K27" t="str">
            <v>ESPECIALLIS</v>
          </cell>
          <cell r="L27" t="str">
            <v>ATIVO</v>
          </cell>
          <cell r="M27" t="str">
            <v>A</v>
          </cell>
          <cell r="N27" t="str">
            <v>TOTAL CLIENTES</v>
          </cell>
          <cell r="O27" t="str">
            <v>LINEA CHOCOLATE AO LEITE 30G - 15 UNIDADES</v>
          </cell>
          <cell r="P27" t="str">
            <v>CHOCOLATE AO LEITE LINEA 4X15X30G</v>
          </cell>
          <cell r="Q27">
            <v>60</v>
          </cell>
        </row>
        <row r="28">
          <cell r="B28">
            <v>430313564</v>
          </cell>
          <cell r="C28">
            <v>410313564</v>
          </cell>
          <cell r="D28" t="str">
            <v>LINEA CHOCOLATE DARK 4X15X30G</v>
          </cell>
          <cell r="E28" t="str">
            <v>DISPLAY</v>
          </cell>
          <cell r="F28" t="str">
            <v>TODOS</v>
          </cell>
          <cell r="G28" t="str">
            <v>ALIMENTOS</v>
          </cell>
          <cell r="H28" t="str">
            <v>CHOCOLATES</v>
          </cell>
          <cell r="I28" t="str">
            <v>IMPULSO</v>
          </cell>
          <cell r="J28" t="str">
            <v>COPACKER</v>
          </cell>
          <cell r="K28" t="str">
            <v>ESPECIALLIS</v>
          </cell>
          <cell r="L28" t="str">
            <v>ATIVO</v>
          </cell>
          <cell r="M28" t="str">
            <v>A</v>
          </cell>
          <cell r="N28" t="str">
            <v>TOTAL CLIENTES</v>
          </cell>
          <cell r="O28" t="str">
            <v>LINEA CHOCOLATE DARK 30G - 15 UNIDADES</v>
          </cell>
          <cell r="P28" t="str">
            <v>CHOCOLATE DARKLINEA 4X15X30G</v>
          </cell>
          <cell r="Q28">
            <v>60</v>
          </cell>
        </row>
        <row r="29">
          <cell r="B29">
            <v>430313664</v>
          </cell>
          <cell r="C29">
            <v>410313664</v>
          </cell>
          <cell r="D29" t="str">
            <v>LINEA CHOCOLATE BRANCO 4X15X30G</v>
          </cell>
          <cell r="E29" t="str">
            <v>DISPLAY</v>
          </cell>
          <cell r="F29" t="str">
            <v>TODOS</v>
          </cell>
          <cell r="G29" t="str">
            <v>ALIMENTOS</v>
          </cell>
          <cell r="H29" t="str">
            <v>CHOCOLATES</v>
          </cell>
          <cell r="I29" t="str">
            <v>IMPULSO</v>
          </cell>
          <cell r="J29" t="str">
            <v>COPACKER</v>
          </cell>
          <cell r="K29" t="str">
            <v>ESPECIALLIS</v>
          </cell>
          <cell r="L29" t="str">
            <v>ATIVO</v>
          </cell>
          <cell r="M29" t="str">
            <v>A</v>
          </cell>
          <cell r="N29" t="str">
            <v>TOTAL CLIENTES</v>
          </cell>
          <cell r="O29" t="str">
            <v>LINEA CHOCOLATE BRANCO 30G - 15 UNIDADES</v>
          </cell>
          <cell r="P29" t="str">
            <v>CHOCOLATE BRANCO LINEA 4X15X30G</v>
          </cell>
          <cell r="Q29">
            <v>60</v>
          </cell>
        </row>
        <row r="30">
          <cell r="B30">
            <v>430316564</v>
          </cell>
          <cell r="C30">
            <v>410316564</v>
          </cell>
          <cell r="D30" t="str">
            <v>LINEA CHOCOLATE LEITE ZERO LACT 4X15X30G</v>
          </cell>
          <cell r="E30" t="str">
            <v>DISPLAY</v>
          </cell>
          <cell r="F30" t="str">
            <v>TODOS</v>
          </cell>
          <cell r="G30" t="str">
            <v>ALIMENTOS</v>
          </cell>
          <cell r="H30" t="str">
            <v>CHOCOLATES</v>
          </cell>
          <cell r="I30" t="str">
            <v>IMPULSO</v>
          </cell>
          <cell r="J30" t="str">
            <v>COPACKER</v>
          </cell>
          <cell r="K30" t="str">
            <v>ESPECIALLIS</v>
          </cell>
          <cell r="L30" t="str">
            <v>ATIVO</v>
          </cell>
          <cell r="M30" t="str">
            <v>A</v>
          </cell>
          <cell r="N30" t="str">
            <v>TOTAL CLIENTES</v>
          </cell>
          <cell r="O30" t="str">
            <v>LINEA CHOCOLATE AO LEITE ZERO LACTOSE 30G - 15 UNIDADES</v>
          </cell>
          <cell r="P30" t="str">
            <v>CHOCOLATE AO LEITE ZERO LACTOSE LINEA 4X15X30G</v>
          </cell>
          <cell r="Q30">
            <v>60</v>
          </cell>
        </row>
        <row r="31">
          <cell r="B31">
            <v>430316664</v>
          </cell>
          <cell r="C31">
            <v>410316664</v>
          </cell>
          <cell r="D31" t="str">
            <v>LINEA CHOCOLATE BRANCO ZERO LACT 4X15X30G</v>
          </cell>
          <cell r="E31" t="str">
            <v>DISPLAY</v>
          </cell>
          <cell r="F31" t="str">
            <v>TODOS</v>
          </cell>
          <cell r="G31" t="str">
            <v>ALIMENTOS</v>
          </cell>
          <cell r="H31" t="str">
            <v>CHOCOLATES</v>
          </cell>
          <cell r="I31" t="str">
            <v>IMPULSO</v>
          </cell>
          <cell r="J31" t="str">
            <v>COPACKER</v>
          </cell>
          <cell r="K31" t="str">
            <v>ESPECIALLIS</v>
          </cell>
          <cell r="L31" t="str">
            <v>ATIVO</v>
          </cell>
          <cell r="M31" t="str">
            <v>B</v>
          </cell>
          <cell r="N31" t="str">
            <v>TOTAL CLIENTES</v>
          </cell>
          <cell r="O31" t="str">
            <v>LINEA CHOCO IMPULSO BRANCO ZERO LACTOSE 30G - 15 UNIDADES</v>
          </cell>
          <cell r="P31" t="str">
            <v>CHOCOLATE BRANCO ZERO LACTOSE 4X15X30G</v>
          </cell>
          <cell r="Q31">
            <v>60</v>
          </cell>
        </row>
        <row r="32">
          <cell r="B32">
            <v>430316964</v>
          </cell>
          <cell r="C32">
            <v>410316964</v>
          </cell>
          <cell r="D32" t="str">
            <v>LINEA CHOCOLATE BCO COOKIES CR 4X15X30G</v>
          </cell>
          <cell r="E32" t="str">
            <v>DISPLAY</v>
          </cell>
          <cell r="F32" t="str">
            <v>TODOS</v>
          </cell>
          <cell r="G32" t="str">
            <v>ALIMENTOS</v>
          </cell>
          <cell r="H32" t="str">
            <v>CHOCOLATES</v>
          </cell>
          <cell r="I32" t="str">
            <v>IMPULSO</v>
          </cell>
          <cell r="J32" t="str">
            <v>COPACKER</v>
          </cell>
          <cell r="K32" t="str">
            <v>ESPECIALLIS</v>
          </cell>
          <cell r="L32" t="str">
            <v>ATIVO</v>
          </cell>
          <cell r="M32" t="str">
            <v>A</v>
          </cell>
          <cell r="N32" t="str">
            <v>TOTAL CLIENTES</v>
          </cell>
          <cell r="O32" t="str">
            <v>LINEA CHOCOLATE COOKIES'N CREAM  30G - 15 UNIDADES</v>
          </cell>
          <cell r="P32" t="str">
            <v>CHOCOLATE BRANCO COOKIES N' CREAM LINEA 4X15X30G</v>
          </cell>
          <cell r="Q32">
            <v>60</v>
          </cell>
        </row>
        <row r="33">
          <cell r="B33">
            <v>430313499</v>
          </cell>
          <cell r="C33">
            <v>410313499</v>
          </cell>
          <cell r="D33" t="str">
            <v>LINEA CHOCOLATE LEITE 8X15X13G</v>
          </cell>
          <cell r="E33" t="str">
            <v>DISPLAY</v>
          </cell>
          <cell r="F33" t="str">
            <v>TODOS</v>
          </cell>
          <cell r="G33" t="str">
            <v>ALIMENTOS</v>
          </cell>
          <cell r="H33" t="str">
            <v>CHOCOLATES</v>
          </cell>
          <cell r="I33" t="str">
            <v>IMPULSO MINI</v>
          </cell>
          <cell r="J33" t="str">
            <v>COPACKER</v>
          </cell>
          <cell r="K33" t="str">
            <v>ESPECIALLIS</v>
          </cell>
          <cell r="L33" t="str">
            <v>ATIVO</v>
          </cell>
          <cell r="M33" t="str">
            <v>A</v>
          </cell>
          <cell r="N33" t="str">
            <v>TOTAL CLIENTES</v>
          </cell>
          <cell r="O33" t="str">
            <v>LINEA MINI CHOCOLATE AO LEITE 13G - 15 UNIDADES</v>
          </cell>
          <cell r="P33" t="str">
            <v>CHOCOLATE MINICHOCO AO LEITE LINEA 8X15X13G</v>
          </cell>
          <cell r="Q33">
            <v>120</v>
          </cell>
        </row>
        <row r="34">
          <cell r="B34">
            <v>430313599</v>
          </cell>
          <cell r="C34">
            <v>410313599</v>
          </cell>
          <cell r="D34" t="str">
            <v>LINEA CHOCOLATE DARK 8X15X13G</v>
          </cell>
          <cell r="E34" t="str">
            <v>DISPLAY</v>
          </cell>
          <cell r="F34" t="str">
            <v>TODOS</v>
          </cell>
          <cell r="G34" t="str">
            <v>ALIMENTOS</v>
          </cell>
          <cell r="H34" t="str">
            <v>CHOCOLATES</v>
          </cell>
          <cell r="I34" t="str">
            <v>IMPULSO MINI</v>
          </cell>
          <cell r="J34" t="str">
            <v>COPACKER</v>
          </cell>
          <cell r="K34" t="str">
            <v>ESPECIALLIS</v>
          </cell>
          <cell r="L34" t="str">
            <v>ATIVO</v>
          </cell>
          <cell r="M34" t="str">
            <v>B</v>
          </cell>
          <cell r="N34" t="str">
            <v>TOTAL CLIENTES</v>
          </cell>
          <cell r="O34" t="str">
            <v>LINEA MINI CHOCOLATE DARK 13G - 15 UNIDADES</v>
          </cell>
          <cell r="P34" t="str">
            <v>CHOCOLATE MINICHOCO DARK LINEA 8X15X13G</v>
          </cell>
          <cell r="Q34">
            <v>120</v>
          </cell>
        </row>
        <row r="35">
          <cell r="B35">
            <v>430313699</v>
          </cell>
          <cell r="C35">
            <v>410313699</v>
          </cell>
          <cell r="D35" t="str">
            <v>LINEA CHOCOLATE BRANCO 8X15X13G</v>
          </cell>
          <cell r="E35" t="str">
            <v>DISPLAY</v>
          </cell>
          <cell r="F35" t="str">
            <v>TODOS</v>
          </cell>
          <cell r="G35" t="str">
            <v>ALIMENTOS</v>
          </cell>
          <cell r="H35" t="str">
            <v>CHOCOLATES</v>
          </cell>
          <cell r="I35" t="str">
            <v>IMPULSO MINI</v>
          </cell>
          <cell r="J35" t="str">
            <v>COPACKER</v>
          </cell>
          <cell r="K35" t="str">
            <v>ESPECIALLIS</v>
          </cell>
          <cell r="L35" t="str">
            <v>ATIVO</v>
          </cell>
          <cell r="M35" t="str">
            <v>C</v>
          </cell>
          <cell r="N35" t="str">
            <v>TOTAL CLIENTES</v>
          </cell>
          <cell r="O35" t="str">
            <v>LINEA MINI CHOCOLATE BRANCO 13G - 15 UNIDADES</v>
          </cell>
          <cell r="P35" t="str">
            <v>CHOCOLATE MINICHOCO BRANCO LINEA 8X15X13G</v>
          </cell>
          <cell r="Q35">
            <v>120</v>
          </cell>
        </row>
        <row r="36">
          <cell r="B36">
            <v>430316599</v>
          </cell>
          <cell r="C36">
            <v>410316599</v>
          </cell>
          <cell r="D36" t="str">
            <v>LINEA CHOCOLATE LEITE ZERO LACT 8X15X13G</v>
          </cell>
          <cell r="E36" t="str">
            <v>DISPLAY</v>
          </cell>
          <cell r="F36" t="str">
            <v>TODOS</v>
          </cell>
          <cell r="G36" t="str">
            <v>ALIMENTOS</v>
          </cell>
          <cell r="H36" t="str">
            <v>CHOCOLATES</v>
          </cell>
          <cell r="I36" t="str">
            <v>IMPULSO MINI</v>
          </cell>
          <cell r="J36" t="str">
            <v>COPACKER</v>
          </cell>
          <cell r="K36" t="str">
            <v>ESPECIALLIS</v>
          </cell>
          <cell r="L36" t="str">
            <v>ATIVO</v>
          </cell>
          <cell r="M36" t="str">
            <v>C</v>
          </cell>
          <cell r="N36" t="str">
            <v>TOTAL CLIENTES</v>
          </cell>
          <cell r="O36" t="str">
            <v>LINEA MINI CHOCOLATE AO LEITE ZERO LACTOSE  13G - 15 UNIDADES</v>
          </cell>
          <cell r="P36" t="str">
            <v>CHOCOLATE MINICHOCO AO LEITE ZERO LACTOSE LINEA 8X15X13G</v>
          </cell>
          <cell r="Q36">
            <v>120</v>
          </cell>
        </row>
        <row r="37">
          <cell r="B37">
            <v>430316999</v>
          </cell>
          <cell r="C37">
            <v>410316999</v>
          </cell>
          <cell r="D37" t="str">
            <v>LINEA CHOCOLATE BCO COOKIES CR 8X15X13G</v>
          </cell>
          <cell r="E37" t="str">
            <v>DISPLAY</v>
          </cell>
          <cell r="F37" t="str">
            <v>TODOS</v>
          </cell>
          <cell r="G37" t="str">
            <v>ALIMENTOS</v>
          </cell>
          <cell r="H37" t="str">
            <v>CHOCOLATES</v>
          </cell>
          <cell r="I37" t="str">
            <v>IMPULSO MINI</v>
          </cell>
          <cell r="J37" t="str">
            <v>COPACKER</v>
          </cell>
          <cell r="K37" t="str">
            <v>ESPECIALLIS</v>
          </cell>
          <cell r="L37" t="str">
            <v>ATIVO</v>
          </cell>
          <cell r="M37" t="str">
            <v>B</v>
          </cell>
          <cell r="N37" t="str">
            <v>TOTAL CLIENTES</v>
          </cell>
          <cell r="O37" t="str">
            <v>LINEA MINI CHOCOLATE COOKIES'N CREAM  13G - 15 UNIDADES</v>
          </cell>
          <cell r="P37" t="str">
            <v>CHOCOLATE MINICHOCO BRANCO COOKIES N' CREAM LINEA 8X15X13G</v>
          </cell>
          <cell r="Q37">
            <v>120</v>
          </cell>
        </row>
        <row r="38">
          <cell r="B38">
            <v>430312064</v>
          </cell>
          <cell r="C38">
            <v>410312064</v>
          </cell>
          <cell r="D38" t="str">
            <v>LINEA CHOC VEGANO BR C/ FR VERM 4X15X30G</v>
          </cell>
          <cell r="E38" t="str">
            <v>DISPLAY</v>
          </cell>
          <cell r="F38" t="str">
            <v>TODOS</v>
          </cell>
          <cell r="G38" t="str">
            <v>ALIMENTOS</v>
          </cell>
          <cell r="H38" t="str">
            <v>CHOCOLATES</v>
          </cell>
          <cell r="I38" t="str">
            <v>IMPULSO VEGANO</v>
          </cell>
          <cell r="J38" t="str">
            <v>COPACKER</v>
          </cell>
          <cell r="K38" t="str">
            <v>GOLDKO / ESPECIALLIS</v>
          </cell>
          <cell r="L38" t="str">
            <v>ATIVO</v>
          </cell>
          <cell r="M38" t="str">
            <v>LANÇAMENTO</v>
          </cell>
          <cell r="N38"/>
          <cell r="O38" t="str">
            <v>LINEA CHOCO VEGANO BRANCO COM FRUTAS VERMELHAS 30G - 15 UNIDADES</v>
          </cell>
          <cell r="P38" t="str">
            <v>CHOCOLATE BR C/ FR VERM VEGANO 4X15X30G</v>
          </cell>
          <cell r="Q38">
            <v>60</v>
          </cell>
        </row>
        <row r="39">
          <cell r="B39">
            <v>430312164</v>
          </cell>
          <cell r="C39">
            <v>410312164</v>
          </cell>
          <cell r="D39" t="str">
            <v>LINEA CHOC VEGANO LEITE C/ NIBS 4X15X30G</v>
          </cell>
          <cell r="E39" t="str">
            <v>DISPLAY</v>
          </cell>
          <cell r="F39" t="str">
            <v>TODOS</v>
          </cell>
          <cell r="G39" t="str">
            <v>ALIMENTOS</v>
          </cell>
          <cell r="H39" t="str">
            <v>CHOCOLATES</v>
          </cell>
          <cell r="I39" t="str">
            <v>IMPULSO VEGANO</v>
          </cell>
          <cell r="J39" t="str">
            <v>COPACKER</v>
          </cell>
          <cell r="K39" t="str">
            <v>GOLDKO / ESPECIALLIS</v>
          </cell>
          <cell r="L39" t="str">
            <v>ATIVO</v>
          </cell>
          <cell r="M39" t="str">
            <v>LANÇAMENTO</v>
          </cell>
          <cell r="N39"/>
          <cell r="O39" t="str">
            <v>LINEA CHOCO VEGANO AO LEITE COM NIBS 30G - 15 UNIDADES</v>
          </cell>
          <cell r="P39" t="str">
            <v>CHOCOLATE AO LEITE C/ NIBS VEGANO 4X15X30G</v>
          </cell>
          <cell r="Q39">
            <v>60</v>
          </cell>
        </row>
        <row r="40">
          <cell r="B40">
            <v>430120509</v>
          </cell>
          <cell r="C40">
            <v>410120509</v>
          </cell>
          <cell r="D40" t="str">
            <v>LINEA HUMMM WAFER PROT COOKIES 2X12X25G</v>
          </cell>
          <cell r="E40" t="str">
            <v>DISPLAY</v>
          </cell>
          <cell r="F40" t="str">
            <v>TODOS</v>
          </cell>
          <cell r="G40" t="str">
            <v>ALIMENTOS</v>
          </cell>
          <cell r="H40" t="str">
            <v>WAFER PROTEICO</v>
          </cell>
          <cell r="I40" t="str">
            <v>WAFER 25g</v>
          </cell>
          <cell r="J40" t="str">
            <v>COPACKER</v>
          </cell>
          <cell r="K40" t="str">
            <v>DUMDUM</v>
          </cell>
          <cell r="L40" t="str">
            <v>ATIVO</v>
          </cell>
          <cell r="M40" t="str">
            <v>LANÇAMENTO</v>
          </cell>
          <cell r="N40"/>
          <cell r="O40" t="str">
            <v>HUMMM WAFER PROTEICO COOKIES N' CREAM 25G</v>
          </cell>
          <cell r="P40" t="str">
            <v>HUMMM WAFER PROTEICO COOKIES N' CREAM 2x12x25G</v>
          </cell>
          <cell r="Q40">
            <v>24</v>
          </cell>
        </row>
        <row r="41">
          <cell r="B41">
            <v>430121509</v>
          </cell>
          <cell r="C41">
            <v>410121509</v>
          </cell>
          <cell r="D41" t="str">
            <v>LINEA HUMMM WAFER PROT CHOCOLATE 2X12X25G</v>
          </cell>
          <cell r="E41" t="str">
            <v>DISPLAY</v>
          </cell>
          <cell r="F41" t="str">
            <v>TODOS</v>
          </cell>
          <cell r="G41" t="str">
            <v>ALIMENTOS</v>
          </cell>
          <cell r="H41" t="str">
            <v>WAFER PROTEICO</v>
          </cell>
          <cell r="I41" t="str">
            <v>WAFER 25g</v>
          </cell>
          <cell r="J41" t="str">
            <v>COPACKER</v>
          </cell>
          <cell r="K41" t="str">
            <v>DUMDUM</v>
          </cell>
          <cell r="L41" t="str">
            <v>ATIVO</v>
          </cell>
          <cell r="M41" t="str">
            <v>LANÇAMENTO</v>
          </cell>
          <cell r="N41"/>
          <cell r="O41" t="str">
            <v>HUMMM WAFER PROTEICO CHOCOLATE 25G</v>
          </cell>
          <cell r="P41" t="str">
            <v>HUMMM WAFER PROTEICO CHOCOLATE 2x12x25G</v>
          </cell>
          <cell r="Q41">
            <v>24</v>
          </cell>
        </row>
        <row r="42">
          <cell r="B42">
            <v>430090260</v>
          </cell>
          <cell r="C42">
            <v>410090260</v>
          </cell>
          <cell r="D42" t="str">
            <v>LINEA ACHOCOLATADO POTE 12X180G</v>
          </cell>
          <cell r="E42" t="str">
            <v>UNIDADE</v>
          </cell>
          <cell r="F42" t="str">
            <v>TODOS</v>
          </cell>
          <cell r="G42" t="str">
            <v>ALIMENTOS</v>
          </cell>
          <cell r="H42" t="str">
            <v>BEBIDAS EM PÓ</v>
          </cell>
          <cell r="I42" t="str">
            <v>ACHOCOLATADO</v>
          </cell>
          <cell r="J42" t="str">
            <v>INTERNO</v>
          </cell>
          <cell r="K42" t="str">
            <v>INTERNO</v>
          </cell>
          <cell r="L42" t="str">
            <v>ATIVO</v>
          </cell>
          <cell r="M42" t="str">
            <v>A</v>
          </cell>
          <cell r="N42" t="str">
            <v>TOTAL CLIENTES</v>
          </cell>
          <cell r="O42" t="str">
            <v>LINEA ACHOCOLATADO EM PO 180G</v>
          </cell>
          <cell r="P42" t="str">
            <v>ACHOCOLATADO ZERO AÇÚCAR LINEA 12X180G</v>
          </cell>
          <cell r="Q42">
            <v>12</v>
          </cell>
        </row>
        <row r="43">
          <cell r="B43">
            <v>430030911</v>
          </cell>
          <cell r="C43">
            <v>410030908</v>
          </cell>
          <cell r="D43" t="str">
            <v>LINEA HUMMM BARRA PROT PACOCA 6X12X35G</v>
          </cell>
          <cell r="E43" t="str">
            <v>UNIDADE</v>
          </cell>
          <cell r="F43" t="str">
            <v>TODOS</v>
          </cell>
          <cell r="G43" t="str">
            <v>ALIMENTOS</v>
          </cell>
          <cell r="H43" t="str">
            <v>BARRAS</v>
          </cell>
          <cell r="I43" t="str">
            <v>BARRA PROTEÍNA</v>
          </cell>
          <cell r="J43" t="str">
            <v>COPACKER</v>
          </cell>
          <cell r="K43" t="str">
            <v>MIX NUTRI</v>
          </cell>
          <cell r="L43" t="str">
            <v>ATIVO</v>
          </cell>
          <cell r="M43" t="str">
            <v>LANÇAMENTO</v>
          </cell>
          <cell r="N43"/>
          <cell r="O43" t="str">
            <v>LINEA HUMMM BARRA DE PROTEINA PAÇOCA 35G</v>
          </cell>
          <cell r="P43" t="str">
            <v>BARRA HUMMM PROTEICA SABOR PAÇOCA 6X12X35G</v>
          </cell>
          <cell r="Q43">
            <v>72</v>
          </cell>
        </row>
        <row r="44">
          <cell r="B44">
            <v>430031011</v>
          </cell>
          <cell r="C44">
            <v>410031008</v>
          </cell>
          <cell r="D44" t="str">
            <v>LINEA HUMMM BARRA PROT COOKIES CREAM 6X12X35G</v>
          </cell>
          <cell r="E44" t="str">
            <v>UNIDADE</v>
          </cell>
          <cell r="F44" t="str">
            <v>TODOS</v>
          </cell>
          <cell r="G44" t="str">
            <v>ALIMENTOS</v>
          </cell>
          <cell r="H44" t="str">
            <v>BARRAS</v>
          </cell>
          <cell r="I44" t="str">
            <v>BARRA PROTEÍNA</v>
          </cell>
          <cell r="J44" t="str">
            <v>COPACKER</v>
          </cell>
          <cell r="K44" t="str">
            <v>MIX NUTRI</v>
          </cell>
          <cell r="L44" t="str">
            <v>ATIVO</v>
          </cell>
          <cell r="M44" t="str">
            <v>LANÇAMENTO</v>
          </cell>
          <cell r="N44"/>
          <cell r="O44" t="str">
            <v>LINEA HUMMM BARRA DE PROTEINA COOKIES'N CREAM 35G</v>
          </cell>
          <cell r="P44" t="str">
            <v>BARRA HUMMM PROTEICA SABOR COOKIES'N CREAM 6X12X35G</v>
          </cell>
          <cell r="Q44">
            <v>72</v>
          </cell>
        </row>
        <row r="45">
          <cell r="B45">
            <v>430031111</v>
          </cell>
          <cell r="C45">
            <v>410031108</v>
          </cell>
          <cell r="D45" t="str">
            <v>LINEA HUMMM BARRA PROT CHEESECAKE MO 6X12X35G</v>
          </cell>
          <cell r="E45" t="str">
            <v>UNIDADE</v>
          </cell>
          <cell r="F45" t="str">
            <v>TODOS</v>
          </cell>
          <cell r="G45" t="str">
            <v>ALIMENTOS</v>
          </cell>
          <cell r="H45" t="str">
            <v>BARRAS</v>
          </cell>
          <cell r="I45" t="str">
            <v>BARRA PROTEÍNA</v>
          </cell>
          <cell r="J45" t="str">
            <v>COPACKER</v>
          </cell>
          <cell r="K45" t="str">
            <v>MIX NUTRI</v>
          </cell>
          <cell r="L45" t="str">
            <v>ATIVO</v>
          </cell>
          <cell r="M45" t="str">
            <v>LANÇAMENTO</v>
          </cell>
          <cell r="N45"/>
          <cell r="O45" t="str">
            <v>LINEA HUMMM BARRA DE PROTEINA CHEESECAKE MORANGO 35G</v>
          </cell>
          <cell r="P45" t="str">
            <v>BARRA HUMMM PROTEICA SABOR CHEESECAKE MORANGO 6X12X35G</v>
          </cell>
          <cell r="Q45">
            <v>72</v>
          </cell>
        </row>
        <row r="46">
          <cell r="B46">
            <v>430031211</v>
          </cell>
          <cell r="C46">
            <v>410031208</v>
          </cell>
          <cell r="D46" t="str">
            <v>LINEA HUMMM BARRA PROT CREME AVELÃ 6X12X35G</v>
          </cell>
          <cell r="E46" t="str">
            <v>UNIDADE</v>
          </cell>
          <cell r="F46" t="str">
            <v>TODOS</v>
          </cell>
          <cell r="G46" t="str">
            <v>ALIMENTOS</v>
          </cell>
          <cell r="H46" t="str">
            <v>BARRAS</v>
          </cell>
          <cell r="I46" t="str">
            <v>BARRA PROTEÍNA</v>
          </cell>
          <cell r="J46" t="str">
            <v>COPACKER</v>
          </cell>
          <cell r="K46" t="str">
            <v>MIX NUTRI</v>
          </cell>
          <cell r="L46" t="str">
            <v>ATIVO</v>
          </cell>
          <cell r="M46" t="str">
            <v>LANÇAMENTO</v>
          </cell>
          <cell r="N46"/>
          <cell r="O46" t="str">
            <v>LINEA HUMMM BARRA DE PROTEINA CREME DE AVELÃ 35G</v>
          </cell>
          <cell r="P46" t="str">
            <v>BARRA HUMMM PROTEICA SABOR CREME DE AVELÃ 6X12X35G</v>
          </cell>
          <cell r="Q46">
            <v>72</v>
          </cell>
        </row>
        <row r="47">
          <cell r="B47">
            <v>430031711</v>
          </cell>
          <cell r="C47">
            <v>410031709</v>
          </cell>
          <cell r="D47" t="str">
            <v>LINEA HUMMM BARRA PROT BRIGADEIRO 6X12X20G</v>
          </cell>
          <cell r="E47" t="str">
            <v>UNIDADE</v>
          </cell>
          <cell r="F47" t="str">
            <v>TODOS</v>
          </cell>
          <cell r="G47" t="str">
            <v>ALIMENTOS</v>
          </cell>
          <cell r="H47" t="str">
            <v>BARRAS</v>
          </cell>
          <cell r="I47" t="str">
            <v>BARRA PROTEÍNA</v>
          </cell>
          <cell r="J47" t="str">
            <v>COPACKER</v>
          </cell>
          <cell r="K47" t="str">
            <v>MIX NUTRI</v>
          </cell>
          <cell r="L47" t="str">
            <v>ATIVO</v>
          </cell>
          <cell r="M47" t="str">
            <v>LANÇAMENTO</v>
          </cell>
          <cell r="N47"/>
          <cell r="O47" t="str">
            <v>LINEA HUMMM BARRA DE PROTEINA  BRIGADEIRO 20G</v>
          </cell>
          <cell r="P47" t="str">
            <v>BARRA HUMMM PROTEICA SABOR BRIGADEIRO 6X12X20G</v>
          </cell>
          <cell r="Q47">
            <v>72</v>
          </cell>
        </row>
        <row r="48">
          <cell r="B48">
            <v>430031811</v>
          </cell>
          <cell r="C48">
            <v>410031809</v>
          </cell>
          <cell r="D48" t="str">
            <v>LINEA HUMMM BARRA PROT BANOFFEE 6X12X20G</v>
          </cell>
          <cell r="E48" t="str">
            <v>UNIDADE</v>
          </cell>
          <cell r="F48" t="str">
            <v>TODOS</v>
          </cell>
          <cell r="G48" t="str">
            <v>ALIMENTOS</v>
          </cell>
          <cell r="H48" t="str">
            <v>BARRAS</v>
          </cell>
          <cell r="I48" t="str">
            <v>BARRA PROTEÍNA</v>
          </cell>
          <cell r="J48" t="str">
            <v>COPACKER</v>
          </cell>
          <cell r="K48" t="str">
            <v>MIX NUTRI</v>
          </cell>
          <cell r="L48" t="str">
            <v>ATIVO</v>
          </cell>
          <cell r="M48" t="str">
            <v>LANÇAMENTO</v>
          </cell>
          <cell r="N48"/>
          <cell r="O48" t="str">
            <v>LINEA HUMMM BARRA DE PROTEINA BANOFFEE 20G</v>
          </cell>
          <cell r="P48" t="str">
            <v>BARRA HUMMM PROTEICA SABOR BANOFFEE 6X12X20G</v>
          </cell>
          <cell r="Q48">
            <v>72</v>
          </cell>
        </row>
        <row r="49">
          <cell r="B49">
            <v>430031911</v>
          </cell>
          <cell r="C49">
            <v>410031909</v>
          </cell>
          <cell r="D49" t="str">
            <v>LINEA HUMMM BARRA PROT DOCE DE LEITE 6X12X20G</v>
          </cell>
          <cell r="E49" t="str">
            <v>UNIDADE</v>
          </cell>
          <cell r="F49" t="str">
            <v>TODOS</v>
          </cell>
          <cell r="G49" t="str">
            <v>ALIMENTOS</v>
          </cell>
          <cell r="H49" t="str">
            <v>BARRAS</v>
          </cell>
          <cell r="I49" t="str">
            <v>BARRA PROTEÍNA</v>
          </cell>
          <cell r="J49" t="str">
            <v>COPACKER</v>
          </cell>
          <cell r="K49" t="str">
            <v>MIX NUTRI</v>
          </cell>
          <cell r="L49" t="str">
            <v>ATIVO</v>
          </cell>
          <cell r="M49" t="str">
            <v>LANÇAMENTO</v>
          </cell>
          <cell r="N49"/>
          <cell r="O49" t="str">
            <v>LINEA HUMMM BARRA DE PROTEINA DOCE DE LEITE 20G</v>
          </cell>
          <cell r="P49" t="str">
            <v>BARRA HUMMM PROTEICA SABOR DOCE DE LEITE 6X12X20G</v>
          </cell>
          <cell r="Q49">
            <v>72</v>
          </cell>
        </row>
        <row r="50">
          <cell r="B50">
            <v>430032011</v>
          </cell>
          <cell r="C50">
            <v>410032009</v>
          </cell>
          <cell r="D50" t="str">
            <v>LINEA HUMMM BARRA PROT MARACUJÁ 6X12X20G</v>
          </cell>
          <cell r="E50" t="str">
            <v>UNIDADE</v>
          </cell>
          <cell r="F50" t="str">
            <v>TODOS</v>
          </cell>
          <cell r="G50" t="str">
            <v>ALIMENTOS</v>
          </cell>
          <cell r="H50" t="str">
            <v>BARRAS</v>
          </cell>
          <cell r="I50" t="str">
            <v>BARRA PROTEÍNA</v>
          </cell>
          <cell r="J50" t="str">
            <v>COPACKER</v>
          </cell>
          <cell r="K50" t="str">
            <v>MIX NUTRI</v>
          </cell>
          <cell r="L50" t="str">
            <v>ATIVO</v>
          </cell>
          <cell r="M50" t="str">
            <v>LANÇAMENTO</v>
          </cell>
          <cell r="N50"/>
          <cell r="O50" t="str">
            <v>LINEA HUMMM BARRA DE PROTEINA MARACUJÁ 20G</v>
          </cell>
          <cell r="P50" t="str">
            <v>BARRA HUMMM PROTEICA SABOR MARACUJÁ 6X12X20G</v>
          </cell>
          <cell r="Q50">
            <v>72</v>
          </cell>
        </row>
        <row r="51">
          <cell r="B51">
            <v>430032111</v>
          </cell>
          <cell r="C51">
            <v>410032108</v>
          </cell>
          <cell r="D51" t="str">
            <v>LINEA HUMMM BARRA PROT BROWNIE 6X12X35G</v>
          </cell>
          <cell r="E51" t="str">
            <v>UNIDADE</v>
          </cell>
          <cell r="F51" t="str">
            <v>TODOS</v>
          </cell>
          <cell r="G51" t="str">
            <v>ALIMENTOS</v>
          </cell>
          <cell r="H51" t="str">
            <v>BARRAS</v>
          </cell>
          <cell r="I51" t="str">
            <v>BARRA PROTEÍNA</v>
          </cell>
          <cell r="J51" t="str">
            <v>COPACKER</v>
          </cell>
          <cell r="K51" t="str">
            <v>MIX NUTRI</v>
          </cell>
          <cell r="L51" t="str">
            <v>ATIVO</v>
          </cell>
          <cell r="M51" t="str">
            <v>LANÇAMENTO</v>
          </cell>
          <cell r="N51"/>
          <cell r="O51" t="str">
            <v>LINEA HUMMM BARRA DE PROTEINA BROWNIE 35G</v>
          </cell>
          <cell r="P51" t="str">
            <v>BARRA HUMMM PROTEICA SABOR BROWNIE 6X12X35G</v>
          </cell>
          <cell r="Q51">
            <v>72</v>
          </cell>
        </row>
        <row r="52">
          <cell r="B52">
            <v>430032213</v>
          </cell>
          <cell r="C52">
            <v>410032208</v>
          </cell>
          <cell r="D52" t="str">
            <v>LINEA HUMMM BARRA PROT TORTA D LIMÃO 6X12X35G</v>
          </cell>
          <cell r="E52" t="str">
            <v>UNIDADE</v>
          </cell>
          <cell r="F52" t="str">
            <v>TODOS</v>
          </cell>
          <cell r="G52" t="str">
            <v>ALIMENTOS</v>
          </cell>
          <cell r="H52" t="str">
            <v>BARRAS</v>
          </cell>
          <cell r="I52" t="str">
            <v>BARRA PROTEÍNA</v>
          </cell>
          <cell r="J52" t="str">
            <v>COPACKER</v>
          </cell>
          <cell r="K52" t="str">
            <v>MIX NUTRI</v>
          </cell>
          <cell r="L52" t="str">
            <v>ATIVO</v>
          </cell>
          <cell r="M52" t="str">
            <v>LANÇAMENTO</v>
          </cell>
          <cell r="N52"/>
          <cell r="O52" t="str">
            <v>LINEA HUMMM BARRA DE PROTEINA TORTA DE LIMÃO 35G</v>
          </cell>
          <cell r="P52" t="str">
            <v>BARRA HUMMM PROTEICA SABOR TORTA DE LIMÃO 6X12X35G</v>
          </cell>
          <cell r="Q52">
            <v>72</v>
          </cell>
        </row>
        <row r="53">
          <cell r="B53">
            <v>430032506</v>
          </cell>
          <cell r="C53">
            <v>410032509</v>
          </cell>
          <cell r="D53" t="str">
            <v>LINEA HUMMM BARRA PROT BIRTHDAY CAKE 6X12X20G</v>
          </cell>
          <cell r="E53" t="str">
            <v>UNIDADE</v>
          </cell>
          <cell r="F53" t="str">
            <v>TODOS</v>
          </cell>
          <cell r="G53" t="str">
            <v>ALIMENTOS</v>
          </cell>
          <cell r="H53" t="str">
            <v>BARRAS</v>
          </cell>
          <cell r="I53" t="str">
            <v>BARRA PROTEÍNA</v>
          </cell>
          <cell r="J53" t="str">
            <v>COPACKER</v>
          </cell>
          <cell r="K53" t="str">
            <v>MIX NUTRI</v>
          </cell>
          <cell r="L53" t="str">
            <v>ATIVO</v>
          </cell>
          <cell r="M53" t="str">
            <v>LANÇAMENTO</v>
          </cell>
          <cell r="N53"/>
          <cell r="O53" t="str">
            <v>LINEA HUMMM BARRA DE PROTEINA BIRTHDAY CAKE 20G</v>
          </cell>
          <cell r="P53" t="str">
            <v>LINEA HUMMM BARRA DE PROTEINA BIRTHDAY CAKE 6X12X20G</v>
          </cell>
          <cell r="Q53">
            <v>72</v>
          </cell>
        </row>
        <row r="54">
          <cell r="B54">
            <v>430032606</v>
          </cell>
          <cell r="C54">
            <v>410032609</v>
          </cell>
          <cell r="D54" t="str">
            <v xml:space="preserve">LINEA HUMMM BARRA PROT BEIJINHO 6X12X20G     </v>
          </cell>
          <cell r="E54" t="str">
            <v>UNIDADE</v>
          </cell>
          <cell r="F54" t="str">
            <v>TODOS</v>
          </cell>
          <cell r="G54" t="str">
            <v>ALIMENTOS</v>
          </cell>
          <cell r="H54" t="str">
            <v>BARRAS</v>
          </cell>
          <cell r="I54" t="str">
            <v>BARRA PROTEÍNA</v>
          </cell>
          <cell r="J54" t="str">
            <v>COPACKER</v>
          </cell>
          <cell r="K54" t="str">
            <v>MIX NUTRI</v>
          </cell>
          <cell r="L54" t="str">
            <v>ATIVO</v>
          </cell>
          <cell r="M54" t="str">
            <v>LANÇAMENTO</v>
          </cell>
          <cell r="N54"/>
          <cell r="O54" t="str">
            <v>LINEA HUMMM BARRA DE PROTEINA BEIJINHO 20G</v>
          </cell>
          <cell r="P54" t="str">
            <v>LINEA HUMMM BARRA DE PROTEINA BEIJINHO 6X12X20G</v>
          </cell>
          <cell r="Q54">
            <v>72</v>
          </cell>
        </row>
        <row r="55">
          <cell r="B55">
            <v>430100106</v>
          </cell>
          <cell r="C55">
            <v>410100105</v>
          </cell>
          <cell r="D55" t="str">
            <v>LINEA BISCOITO INTEG CACAU E CEREAIS 24X100G</v>
          </cell>
          <cell r="E55" t="str">
            <v>UNIDADE</v>
          </cell>
          <cell r="F55" t="str">
            <v>TODOS</v>
          </cell>
          <cell r="G55" t="str">
            <v>ALIMENTOS</v>
          </cell>
          <cell r="H55" t="str">
            <v>BISCOITOS</v>
          </cell>
          <cell r="I55" t="str">
            <v>BISCOITOS DOCES</v>
          </cell>
          <cell r="J55" t="str">
            <v>COPACKER</v>
          </cell>
          <cell r="K55" t="str">
            <v>HOME MADE</v>
          </cell>
          <cell r="L55" t="str">
            <v>ATIVO</v>
          </cell>
          <cell r="M55" t="str">
            <v>A</v>
          </cell>
          <cell r="N55"/>
          <cell r="O55" t="str">
            <v>LINEA BISCOITO INTEGRAL CACAU E CEREAIS 100G</v>
          </cell>
          <cell r="P55" t="str">
            <v>LINEA BISCOITO INTEGRAL CACAU E CEREAIS 24X100G</v>
          </cell>
          <cell r="Q55">
            <v>24</v>
          </cell>
        </row>
        <row r="56">
          <cell r="B56">
            <v>430100206</v>
          </cell>
          <cell r="C56">
            <v>410100205</v>
          </cell>
          <cell r="D56" t="str">
            <v>LINEA BISCOITO INTEG BANANA E CANELA 24X100G</v>
          </cell>
          <cell r="E56" t="str">
            <v>UNIDADE</v>
          </cell>
          <cell r="F56" t="str">
            <v>TODOS</v>
          </cell>
          <cell r="G56" t="str">
            <v>ALIMENTOS</v>
          </cell>
          <cell r="H56" t="str">
            <v>BISCOITOS</v>
          </cell>
          <cell r="I56" t="str">
            <v>BISCOITOS DOCES</v>
          </cell>
          <cell r="J56" t="str">
            <v>COPACKER</v>
          </cell>
          <cell r="K56" t="str">
            <v>HOME MADE</v>
          </cell>
          <cell r="L56" t="str">
            <v>ATIVO</v>
          </cell>
          <cell r="M56" t="str">
            <v>B</v>
          </cell>
          <cell r="N56"/>
          <cell r="O56" t="str">
            <v>LINEA BISCOITO INTEGRAL BANANA E CANELA 100G</v>
          </cell>
          <cell r="P56" t="str">
            <v>LINEA BISCOITO INTEGRAL BANANA E CANELA 24X100G</v>
          </cell>
          <cell r="Q56">
            <v>24</v>
          </cell>
        </row>
        <row r="57">
          <cell r="B57">
            <v>430100306</v>
          </cell>
          <cell r="C57">
            <v>410100305</v>
          </cell>
          <cell r="D57" t="str">
            <v>LINEA BISCOITO INTEG LARANJA E CENOUR 24X100G</v>
          </cell>
          <cell r="E57" t="str">
            <v>UNIDADE</v>
          </cell>
          <cell r="F57" t="str">
            <v>TODOS</v>
          </cell>
          <cell r="G57" t="str">
            <v>ALIMENTOS</v>
          </cell>
          <cell r="H57" t="str">
            <v>BISCOITOS</v>
          </cell>
          <cell r="I57" t="str">
            <v>BISCOITOS DOCES</v>
          </cell>
          <cell r="J57" t="str">
            <v>COPACKER</v>
          </cell>
          <cell r="K57" t="str">
            <v>HOME MADE</v>
          </cell>
          <cell r="L57" t="str">
            <v>ATIVO</v>
          </cell>
          <cell r="M57" t="str">
            <v>B</v>
          </cell>
          <cell r="N57"/>
          <cell r="O57" t="str">
            <v>LINEA BISCOITO INTEGRAL LARANJA E CENOURA 100G</v>
          </cell>
          <cell r="P57" t="str">
            <v>LINEA BISCOITO INTEGRAL LARANJA E CENOURA 24X100G</v>
          </cell>
          <cell r="Q57">
            <v>24</v>
          </cell>
        </row>
        <row r="58">
          <cell r="B58">
            <v>430075565</v>
          </cell>
          <cell r="C58">
            <v>410075564</v>
          </cell>
          <cell r="D58" t="str">
            <v>LINEA CAPPUCCINO 12X150G</v>
          </cell>
          <cell r="E58" t="str">
            <v>UNIDADE</v>
          </cell>
          <cell r="F58" t="str">
            <v>TODOS</v>
          </cell>
          <cell r="G58" t="str">
            <v>ALIMENTOS</v>
          </cell>
          <cell r="H58" t="str">
            <v>BEBIDAS EM PÓ</v>
          </cell>
          <cell r="I58" t="str">
            <v>CAPPUCCINO</v>
          </cell>
          <cell r="J58" t="str">
            <v>INTERNO</v>
          </cell>
          <cell r="K58" t="str">
            <v>INTERNO</v>
          </cell>
          <cell r="L58" t="str">
            <v>ATIVO</v>
          </cell>
          <cell r="M58" t="str">
            <v>LANÇAMENTO</v>
          </cell>
          <cell r="N58"/>
          <cell r="O58" t="str">
            <v>LINEA CAPPUCCINO 150G</v>
          </cell>
          <cell r="P58" t="str">
            <v>CAPPUCCINO ZERO ACUCAR 12X150G</v>
          </cell>
          <cell r="Q58">
            <v>12</v>
          </cell>
        </row>
        <row r="59">
          <cell r="B59">
            <v>430340057</v>
          </cell>
          <cell r="C59">
            <v>410340057</v>
          </cell>
          <cell r="D59" t="str">
            <v>LINEA DOCE DE LEITE 12X210G</v>
          </cell>
          <cell r="E59" t="str">
            <v>UNIDADE</v>
          </cell>
          <cell r="F59" t="str">
            <v>TODOS</v>
          </cell>
          <cell r="G59" t="str">
            <v>ALIMENTOS</v>
          </cell>
          <cell r="H59" t="str">
            <v>OUTROS</v>
          </cell>
          <cell r="I59" t="str">
            <v>DOCE DE LEITE</v>
          </cell>
          <cell r="J59" t="str">
            <v>COPACKER</v>
          </cell>
          <cell r="K59" t="str">
            <v>RESERVA DE MINAS</v>
          </cell>
          <cell r="L59" t="str">
            <v>ATIVO</v>
          </cell>
          <cell r="M59" t="str">
            <v>B</v>
          </cell>
          <cell r="N59" t="str">
            <v>TOTAL CLIENTES</v>
          </cell>
          <cell r="O59" t="str">
            <v>LINEA DOCE DE LEITE TRADICIONAL 210G</v>
          </cell>
          <cell r="P59" t="str">
            <v>DOCE DE LEITE LINEA 12X210G</v>
          </cell>
          <cell r="Q59">
            <v>12</v>
          </cell>
        </row>
        <row r="60">
          <cell r="B60">
            <v>430342157</v>
          </cell>
          <cell r="C60">
            <v>410342157</v>
          </cell>
          <cell r="D60" t="str">
            <v>LINEA DOCE DE LEITE COCO 12X210G</v>
          </cell>
          <cell r="E60" t="str">
            <v>UNIDADE</v>
          </cell>
          <cell r="F60" t="str">
            <v>TODOS</v>
          </cell>
          <cell r="G60" t="str">
            <v>ALIMENTOS</v>
          </cell>
          <cell r="H60" t="str">
            <v>OUTROS</v>
          </cell>
          <cell r="I60" t="str">
            <v>DOCE DE LEITE</v>
          </cell>
          <cell r="J60" t="str">
            <v>COPACKER</v>
          </cell>
          <cell r="K60" t="str">
            <v>RESERVA DE MINAS</v>
          </cell>
          <cell r="L60" t="str">
            <v>ATIVO</v>
          </cell>
          <cell r="M60" t="str">
            <v>C</v>
          </cell>
          <cell r="N60" t="str">
            <v>TOTAL CLIENTES</v>
          </cell>
          <cell r="O60" t="str">
            <v>LINEA DOCE DE LEITE COM COCO 210G</v>
          </cell>
          <cell r="P60" t="str">
            <v>DOCE DE LEITE COM COCO LINEA 12X210G</v>
          </cell>
          <cell r="Q60">
            <v>12</v>
          </cell>
        </row>
        <row r="61">
          <cell r="B61">
            <v>430022008</v>
          </cell>
          <cell r="C61">
            <v>410022008</v>
          </cell>
          <cell r="D61" t="str">
            <v>LINEA ADOC ERITRITOL PO 6X40X5G</v>
          </cell>
          <cell r="E61" t="str">
            <v>UNIDADE</v>
          </cell>
          <cell r="F61" t="str">
            <v>TODOS</v>
          </cell>
          <cell r="G61" t="str">
            <v>ADOÇANTES</v>
          </cell>
          <cell r="H61" t="str">
            <v>ERITRITOL</v>
          </cell>
          <cell r="I61" t="str">
            <v>ERITRITOL PÓ</v>
          </cell>
          <cell r="J61" t="str">
            <v>INTERNO</v>
          </cell>
          <cell r="K61" t="str">
            <v>INTERNO</v>
          </cell>
          <cell r="L61" t="str">
            <v>ATIVO</v>
          </cell>
          <cell r="M61" t="str">
            <v>B</v>
          </cell>
          <cell r="N61" t="str">
            <v>TOTAL CLIENTES</v>
          </cell>
          <cell r="O61" t="str">
            <v>LINEA ADOCANTE EM PO ERITRITOL 100% NATURAL 6X40X5G</v>
          </cell>
          <cell r="P61" t="str">
            <v>LINEA ADOCANTE EM PO ERITRITOL 100% NATURAL 6X40X5G (BOATOPACK)</v>
          </cell>
          <cell r="Q61">
            <v>6</v>
          </cell>
        </row>
        <row r="62">
          <cell r="B62">
            <v>430080395</v>
          </cell>
          <cell r="C62">
            <v>410080395</v>
          </cell>
          <cell r="D62" t="str">
            <v>LINEA ADOC ERITRITOL PO 6X250G</v>
          </cell>
          <cell r="E62" t="str">
            <v>UNIDADE</v>
          </cell>
          <cell r="F62" t="str">
            <v>TODOS</v>
          </cell>
          <cell r="G62" t="str">
            <v>ADOÇANTES</v>
          </cell>
          <cell r="H62" t="str">
            <v>ERITRITOL</v>
          </cell>
          <cell r="I62" t="str">
            <v>ERITRITOL PÓ</v>
          </cell>
          <cell r="J62" t="str">
            <v>INTERNO</v>
          </cell>
          <cell r="K62" t="str">
            <v>INTERNO</v>
          </cell>
          <cell r="L62" t="str">
            <v>ATIVO</v>
          </cell>
          <cell r="M62" t="str">
            <v>B</v>
          </cell>
          <cell r="N62" t="str">
            <v>TOTAL CLIENTES</v>
          </cell>
          <cell r="O62" t="str">
            <v>LINEA ADOCANTE EM PO ERITRITOL 250G</v>
          </cell>
          <cell r="P62" t="str">
            <v>LINEA ADOCANTE EM PO ERITRITOL 100% NATURAL 6X250G</v>
          </cell>
          <cell r="Q62">
            <v>6</v>
          </cell>
        </row>
        <row r="63">
          <cell r="B63">
            <v>430313462</v>
          </cell>
          <cell r="C63">
            <v>410313462</v>
          </cell>
          <cell r="D63" t="str">
            <v>LINEA CHOCO FAMILIAR AO LEITE 4X10X75G</v>
          </cell>
          <cell r="E63" t="str">
            <v>UNIDADE</v>
          </cell>
          <cell r="F63" t="str">
            <v>TODOS</v>
          </cell>
          <cell r="G63" t="str">
            <v>ALIMENTOS</v>
          </cell>
          <cell r="H63" t="str">
            <v>CHOCOLATES</v>
          </cell>
          <cell r="I63" t="str">
            <v>FAMILIAR</v>
          </cell>
          <cell r="J63" t="str">
            <v>COPACKER</v>
          </cell>
          <cell r="K63" t="str">
            <v>GOLDKO</v>
          </cell>
          <cell r="L63" t="str">
            <v>ATIVO</v>
          </cell>
          <cell r="M63" t="str">
            <v>LANÇAMENTO</v>
          </cell>
          <cell r="N63"/>
          <cell r="O63" t="str">
            <v>LINEA CHOCOLATE FAMILIAR AO LEITE 4X10X75G</v>
          </cell>
          <cell r="P63" t="str">
            <v>CHOCOLATE FAMILIAR AO LEITE 4X10X75G</v>
          </cell>
          <cell r="Q63">
            <v>40</v>
          </cell>
        </row>
        <row r="64">
          <cell r="B64">
            <v>430313562</v>
          </cell>
          <cell r="C64">
            <v>410313562</v>
          </cell>
          <cell r="D64" t="str">
            <v>LINEA CHOCO FAMILIAR DARK 4X10X75G</v>
          </cell>
          <cell r="E64" t="str">
            <v>UNIDADE</v>
          </cell>
          <cell r="F64" t="str">
            <v>TODOS</v>
          </cell>
          <cell r="G64" t="str">
            <v>ALIMENTOS</v>
          </cell>
          <cell r="H64" t="str">
            <v>CHOCOLATES</v>
          </cell>
          <cell r="I64" t="str">
            <v>FAMILIAR</v>
          </cell>
          <cell r="J64" t="str">
            <v>COPACKER</v>
          </cell>
          <cell r="K64" t="str">
            <v>GOLDKO</v>
          </cell>
          <cell r="L64" t="str">
            <v>ATIVO</v>
          </cell>
          <cell r="M64" t="str">
            <v>LANÇAMENTO</v>
          </cell>
          <cell r="N64"/>
          <cell r="O64" t="str">
            <v>LINEA CHOCOLATE FAMILIAR DARK 4X10X75G</v>
          </cell>
          <cell r="P64" t="str">
            <v>CHOCOLATE FAMILIAR DARK 4X10X75G</v>
          </cell>
          <cell r="Q64">
            <v>40</v>
          </cell>
        </row>
        <row r="65">
          <cell r="B65">
            <v>430313662</v>
          </cell>
          <cell r="C65">
            <v>410313662</v>
          </cell>
          <cell r="D65" t="str">
            <v>LINEA CHOCO FAMILIAR BCO COOKIES 4X10X75G</v>
          </cell>
          <cell r="E65" t="str">
            <v>UNIDADE</v>
          </cell>
          <cell r="F65" t="str">
            <v>TODOS</v>
          </cell>
          <cell r="G65" t="str">
            <v>ALIMENTOS</v>
          </cell>
          <cell r="H65" t="str">
            <v>CHOCOLATES</v>
          </cell>
          <cell r="I65" t="str">
            <v>FAMILIAR</v>
          </cell>
          <cell r="J65" t="str">
            <v>COPACKER</v>
          </cell>
          <cell r="K65" t="str">
            <v>GOLDKO</v>
          </cell>
          <cell r="L65" t="str">
            <v>ATIVO</v>
          </cell>
          <cell r="M65" t="str">
            <v>LANÇAMENTO</v>
          </cell>
          <cell r="N65"/>
          <cell r="O65" t="str">
            <v>LINEA CHOCOLATE FAMILIAR COOKIES'N CREAM 4X10X75G</v>
          </cell>
          <cell r="P65" t="str">
            <v>CHOCOLATE FAMILIAR COOKIES'N CREAM 4X10X75G</v>
          </cell>
          <cell r="Q65">
            <v>40</v>
          </cell>
        </row>
        <row r="66">
          <cell r="B66">
            <v>430250135</v>
          </cell>
          <cell r="C66">
            <v>410250135</v>
          </cell>
          <cell r="D66" t="str">
            <v>LINEA GELATINA MORANGO 24X10G</v>
          </cell>
          <cell r="E66" t="str">
            <v>UNIDADE</v>
          </cell>
          <cell r="F66" t="str">
            <v>TODOS</v>
          </cell>
          <cell r="G66" t="str">
            <v>ALIMENTOS</v>
          </cell>
          <cell r="H66" t="str">
            <v>SOBREMESAS EM PÓ</v>
          </cell>
          <cell r="I66" t="str">
            <v>GELATINA</v>
          </cell>
          <cell r="J66" t="str">
            <v>INTERNO</v>
          </cell>
          <cell r="K66" t="str">
            <v>INTERNO</v>
          </cell>
          <cell r="L66" t="str">
            <v>ATIVO</v>
          </cell>
          <cell r="M66" t="str">
            <v>B</v>
          </cell>
          <cell r="N66" t="str">
            <v>TOTAL CLIENTES</v>
          </cell>
          <cell r="O66" t="str">
            <v>LINEA GELATINA DE MORANGO 10G</v>
          </cell>
          <cell r="P66" t="str">
            <v>GELATINA SABOR MORANGO 24X10G</v>
          </cell>
          <cell r="Q66">
            <v>24</v>
          </cell>
        </row>
        <row r="67">
          <cell r="B67">
            <v>430250935</v>
          </cell>
          <cell r="C67">
            <v>410250935</v>
          </cell>
          <cell r="D67" t="str">
            <v>LINEA GELATINA LIMAO 24X10G</v>
          </cell>
          <cell r="E67" t="str">
            <v>UNIDADE</v>
          </cell>
          <cell r="F67" t="str">
            <v>TODOS</v>
          </cell>
          <cell r="G67" t="str">
            <v>ALIMENTOS</v>
          </cell>
          <cell r="H67" t="str">
            <v>SOBREMESAS EM PÓ</v>
          </cell>
          <cell r="I67" t="str">
            <v>GELATINA</v>
          </cell>
          <cell r="J67" t="str">
            <v>INTERNO</v>
          </cell>
          <cell r="K67" t="str">
            <v>INTERNO</v>
          </cell>
          <cell r="L67" t="str">
            <v>ATIVO</v>
          </cell>
          <cell r="M67" t="str">
            <v>C</v>
          </cell>
          <cell r="N67" t="str">
            <v>TOTAL CLIENTES</v>
          </cell>
          <cell r="O67" t="str">
            <v>LINEA GELATINA DE LIMAO 10G</v>
          </cell>
          <cell r="P67" t="str">
            <v>GELATINA SABOR LIMÃO 24X10G</v>
          </cell>
          <cell r="Q67">
            <v>24</v>
          </cell>
        </row>
        <row r="68">
          <cell r="B68">
            <v>430251135</v>
          </cell>
          <cell r="C68">
            <v>410251135</v>
          </cell>
          <cell r="D68" t="str">
            <v>LINEA GELATINA TANGERINA 24X10G</v>
          </cell>
          <cell r="E68" t="str">
            <v>UNIDADE</v>
          </cell>
          <cell r="F68" t="str">
            <v>TODOS</v>
          </cell>
          <cell r="G68" t="str">
            <v>ALIMENTOS</v>
          </cell>
          <cell r="H68" t="str">
            <v>SOBREMESAS EM PÓ</v>
          </cell>
          <cell r="I68" t="str">
            <v>GELATINA</v>
          </cell>
          <cell r="J68" t="str">
            <v>INTERNO</v>
          </cell>
          <cell r="K68" t="str">
            <v>INTERNO</v>
          </cell>
          <cell r="L68" t="str">
            <v>ATIVO</v>
          </cell>
          <cell r="M68" t="str">
            <v>C</v>
          </cell>
          <cell r="N68" t="str">
            <v>TOTAL CLIENTES</v>
          </cell>
          <cell r="O68" t="str">
            <v>LINEA GELATINA DE TANGERINA 10G</v>
          </cell>
          <cell r="P68" t="str">
            <v>GELATINA SABOR TANGERINA 24X10G</v>
          </cell>
          <cell r="Q68">
            <v>24</v>
          </cell>
        </row>
        <row r="69">
          <cell r="B69">
            <v>430251235</v>
          </cell>
          <cell r="C69">
            <v>410251235</v>
          </cell>
          <cell r="D69" t="str">
            <v>LINEA GELATINA UVA 24X10G</v>
          </cell>
          <cell r="E69" t="str">
            <v>UNIDADE</v>
          </cell>
          <cell r="F69" t="str">
            <v>TODOS</v>
          </cell>
          <cell r="G69" t="str">
            <v>ALIMENTOS</v>
          </cell>
          <cell r="H69" t="str">
            <v>SOBREMESAS EM PÓ</v>
          </cell>
          <cell r="I69" t="str">
            <v>GELATINA</v>
          </cell>
          <cell r="J69" t="str">
            <v>INTERNO</v>
          </cell>
          <cell r="K69" t="str">
            <v>INTERNO</v>
          </cell>
          <cell r="L69" t="str">
            <v>ATIVO</v>
          </cell>
          <cell r="M69" t="str">
            <v>B</v>
          </cell>
          <cell r="N69" t="str">
            <v>TOTAL CLIENTES</v>
          </cell>
          <cell r="O69" t="str">
            <v>LINEA GELATINA DE UVA 10G</v>
          </cell>
          <cell r="P69" t="str">
            <v>GELATINA SABOR UVA 24X10G</v>
          </cell>
          <cell r="Q69">
            <v>24</v>
          </cell>
        </row>
        <row r="70">
          <cell r="B70">
            <v>430251735</v>
          </cell>
          <cell r="C70">
            <v>410251735</v>
          </cell>
          <cell r="D70" t="str">
            <v>LINEA GELATINA ABACAXI 24X10G</v>
          </cell>
          <cell r="E70" t="str">
            <v>UNIDADE</v>
          </cell>
          <cell r="F70" t="str">
            <v>TODOS</v>
          </cell>
          <cell r="G70" t="str">
            <v>ALIMENTOS</v>
          </cell>
          <cell r="H70" t="str">
            <v>SOBREMESAS EM PÓ</v>
          </cell>
          <cell r="I70" t="str">
            <v>GELATINA</v>
          </cell>
          <cell r="J70" t="str">
            <v>INTERNO</v>
          </cell>
          <cell r="K70" t="str">
            <v>INTERNO</v>
          </cell>
          <cell r="L70" t="str">
            <v>ATIVO</v>
          </cell>
          <cell r="M70" t="str">
            <v>B</v>
          </cell>
          <cell r="N70" t="str">
            <v>TOTAL CLIENTES</v>
          </cell>
          <cell r="O70" t="str">
            <v>LINEA GELATINA DE ABACAXI 10G</v>
          </cell>
          <cell r="P70" t="str">
            <v>GELATINA SABOR ABACAXI 24X10G</v>
          </cell>
          <cell r="Q70">
            <v>24</v>
          </cell>
        </row>
        <row r="71">
          <cell r="B71">
            <v>430251835</v>
          </cell>
          <cell r="C71">
            <v>410251835</v>
          </cell>
          <cell r="D71" t="str">
            <v>LINEA GELATINA CEREJA 24X10G</v>
          </cell>
          <cell r="E71" t="str">
            <v>UNIDADE</v>
          </cell>
          <cell r="F71" t="str">
            <v>TODOS</v>
          </cell>
          <cell r="G71" t="str">
            <v>ALIMENTOS</v>
          </cell>
          <cell r="H71" t="str">
            <v>SOBREMESAS EM PÓ</v>
          </cell>
          <cell r="I71" t="str">
            <v>GELATINA</v>
          </cell>
          <cell r="J71" t="str">
            <v>INTERNO</v>
          </cell>
          <cell r="K71" t="str">
            <v>INTERNO</v>
          </cell>
          <cell r="L71" t="str">
            <v>ATIVO</v>
          </cell>
          <cell r="M71" t="str">
            <v>C</v>
          </cell>
          <cell r="N71" t="str">
            <v>TOTAL CLIENTES</v>
          </cell>
          <cell r="O71" t="str">
            <v>LINEA GELATINA DE CEREJA 10G</v>
          </cell>
          <cell r="P71" t="str">
            <v>GELATINA SABOR CEREJA 24X10G</v>
          </cell>
          <cell r="Q71">
            <v>24</v>
          </cell>
        </row>
        <row r="72">
          <cell r="B72">
            <v>430252857</v>
          </cell>
          <cell r="C72">
            <v>410252857</v>
          </cell>
          <cell r="D72" t="str">
            <v>LINEA GELATINA MARACUJA 12X10G</v>
          </cell>
          <cell r="E72" t="str">
            <v>UNIDADE</v>
          </cell>
          <cell r="F72" t="str">
            <v>TODOS</v>
          </cell>
          <cell r="G72" t="str">
            <v>ALIMENTOS</v>
          </cell>
          <cell r="H72" t="str">
            <v>SOBREMESAS EM PÓ</v>
          </cell>
          <cell r="I72" t="str">
            <v>GELATINA</v>
          </cell>
          <cell r="J72" t="str">
            <v>INTERNO</v>
          </cell>
          <cell r="K72" t="str">
            <v>INTERNO</v>
          </cell>
          <cell r="L72" t="str">
            <v>ATIVO</v>
          </cell>
          <cell r="M72" t="str">
            <v>LANÇAMENTO</v>
          </cell>
          <cell r="N72"/>
          <cell r="O72" t="str">
            <v>LINEA GELATINA DE MARACUJÁ 10G</v>
          </cell>
          <cell r="P72" t="str">
            <v>GELATINA SABOR MARACUJÁ 12X10G</v>
          </cell>
          <cell r="Q72">
            <v>12</v>
          </cell>
        </row>
        <row r="73">
          <cell r="B73">
            <v>430252957</v>
          </cell>
          <cell r="C73">
            <v>410252957</v>
          </cell>
          <cell r="D73" t="str">
            <v>LINEA GELATINA TUTTI FRUTTI 12X10G</v>
          </cell>
          <cell r="E73" t="str">
            <v>UNIDADE</v>
          </cell>
          <cell r="F73" t="str">
            <v>TODOS</v>
          </cell>
          <cell r="G73" t="str">
            <v>ALIMENTOS</v>
          </cell>
          <cell r="H73" t="str">
            <v>SOBREMESAS EM PÓ</v>
          </cell>
          <cell r="I73" t="str">
            <v>GELATINA</v>
          </cell>
          <cell r="J73" t="str">
            <v>INTERNO</v>
          </cell>
          <cell r="K73" t="str">
            <v>INTERNO</v>
          </cell>
          <cell r="L73" t="str">
            <v>ATIVO</v>
          </cell>
          <cell r="M73" t="str">
            <v>LANÇAMENTO</v>
          </cell>
          <cell r="N73"/>
          <cell r="O73" t="str">
            <v>LINEA GELATINA DE TUTTI FRUTTI 10G</v>
          </cell>
          <cell r="P73" t="str">
            <v>GELATINA SABOR TUTTI FRUTTI 12X10G</v>
          </cell>
          <cell r="Q73">
            <v>12</v>
          </cell>
        </row>
        <row r="74">
          <cell r="B74">
            <v>430040157</v>
          </cell>
          <cell r="C74">
            <v>410040157</v>
          </cell>
          <cell r="D74" t="str">
            <v>LINEA GELEIA MORANGO 12X230G</v>
          </cell>
          <cell r="E74" t="str">
            <v>UNIDADE</v>
          </cell>
          <cell r="F74" t="str">
            <v>TODOS</v>
          </cell>
          <cell r="G74" t="str">
            <v>ALIMENTOS</v>
          </cell>
          <cell r="H74" t="str">
            <v>GELEIAS</v>
          </cell>
          <cell r="I74" t="str">
            <v>GELEIA DE FRUTAS</v>
          </cell>
          <cell r="J74" t="str">
            <v>INTERNO</v>
          </cell>
          <cell r="K74" t="str">
            <v>INTERNO</v>
          </cell>
          <cell r="L74" t="str">
            <v>ATIVO</v>
          </cell>
          <cell r="M74" t="str">
            <v>A</v>
          </cell>
          <cell r="N74" t="str">
            <v>TOTAL CLIENTES</v>
          </cell>
          <cell r="O74" t="str">
            <v>LINEA GELEIA DE MORANGO 230G</v>
          </cell>
          <cell r="P74" t="str">
            <v>GELEIA SABOR MORANGO 12X230G</v>
          </cell>
          <cell r="Q74">
            <v>12</v>
          </cell>
        </row>
        <row r="75">
          <cell r="B75">
            <v>430040357</v>
          </cell>
          <cell r="C75">
            <v>410040357</v>
          </cell>
          <cell r="D75" t="str">
            <v>LINEA GELEIA DE FRUTAS VERMELHAS 12X230G</v>
          </cell>
          <cell r="E75" t="str">
            <v>UNIDADE</v>
          </cell>
          <cell r="F75" t="str">
            <v>TODOS</v>
          </cell>
          <cell r="G75" t="str">
            <v>ALIMENTOS</v>
          </cell>
          <cell r="H75" t="str">
            <v>GELEIAS</v>
          </cell>
          <cell r="I75" t="str">
            <v>GELEIA DE FRUTAS</v>
          </cell>
          <cell r="J75" t="str">
            <v>INTERNO</v>
          </cell>
          <cell r="K75" t="str">
            <v>INTERNO</v>
          </cell>
          <cell r="L75" t="str">
            <v>ATIVO</v>
          </cell>
          <cell r="M75" t="str">
            <v>A</v>
          </cell>
          <cell r="N75" t="str">
            <v>TOTAL CLIENTES</v>
          </cell>
          <cell r="O75" t="str">
            <v>LINEA GELEIA FRUTAS VERMELHAS 230G</v>
          </cell>
          <cell r="P75" t="str">
            <v>GELEIA SABOR FRUTAS VERMELHAS 12X230G</v>
          </cell>
          <cell r="Q75">
            <v>12</v>
          </cell>
        </row>
        <row r="76">
          <cell r="B76">
            <v>430040457</v>
          </cell>
          <cell r="C76">
            <v>410040457</v>
          </cell>
          <cell r="D76" t="str">
            <v>LINEA GELEIA DE ABACAXI C/ HORTELA 12X230G</v>
          </cell>
          <cell r="E76" t="str">
            <v>UNIDADE</v>
          </cell>
          <cell r="F76" t="str">
            <v>TODOS</v>
          </cell>
          <cell r="G76" t="str">
            <v>ALIMENTOS</v>
          </cell>
          <cell r="H76" t="str">
            <v>GELEIAS</v>
          </cell>
          <cell r="I76" t="str">
            <v>GELEIA DE FRUTAS</v>
          </cell>
          <cell r="J76" t="str">
            <v>INTERNO</v>
          </cell>
          <cell r="K76" t="str">
            <v>INTERNO</v>
          </cell>
          <cell r="L76" t="str">
            <v>ATIVO</v>
          </cell>
          <cell r="M76" t="str">
            <v>A</v>
          </cell>
          <cell r="N76" t="str">
            <v>TOTAL CLIENTES</v>
          </cell>
          <cell r="O76" t="str">
            <v>LINEA GELEIA ABACAXI COM HORTELÃ 230G</v>
          </cell>
          <cell r="P76" t="str">
            <v>GELEIA SABOR ABACAXI COM HORTELÃ 12X230G</v>
          </cell>
          <cell r="Q76">
            <v>12</v>
          </cell>
        </row>
        <row r="77">
          <cell r="B77">
            <v>430040657</v>
          </cell>
          <cell r="C77">
            <v>410040657</v>
          </cell>
          <cell r="D77" t="str">
            <v>LINEA GELEIA DE UVA 12X230G</v>
          </cell>
          <cell r="E77" t="str">
            <v>UNIDADE</v>
          </cell>
          <cell r="F77" t="str">
            <v>TODOS</v>
          </cell>
          <cell r="G77" t="str">
            <v>ALIMENTOS</v>
          </cell>
          <cell r="H77" t="str">
            <v>GELEIAS</v>
          </cell>
          <cell r="I77" t="str">
            <v>GELEIA DE FRUTAS</v>
          </cell>
          <cell r="J77" t="str">
            <v>INTERNO</v>
          </cell>
          <cell r="K77" t="str">
            <v>INTERNO</v>
          </cell>
          <cell r="L77" t="str">
            <v>ATIVO</v>
          </cell>
          <cell r="M77" t="str">
            <v>LANÇAMENTO</v>
          </cell>
          <cell r="N77"/>
          <cell r="O77" t="str">
            <v>LINEA GELEIA DE UVA 230G</v>
          </cell>
          <cell r="P77" t="str">
            <v>GELEIA SABOR UVA 12X230G</v>
          </cell>
          <cell r="Q77">
            <v>12</v>
          </cell>
        </row>
        <row r="78">
          <cell r="B78">
            <v>430040857</v>
          </cell>
          <cell r="C78">
            <v>410040857</v>
          </cell>
          <cell r="D78" t="str">
            <v>LINEA GELEIA DE MACA COM CANELA 12X230G</v>
          </cell>
          <cell r="E78" t="str">
            <v>UNIDADE</v>
          </cell>
          <cell r="F78" t="str">
            <v>TODOS</v>
          </cell>
          <cell r="G78" t="str">
            <v>ALIMENTOS</v>
          </cell>
          <cell r="H78" t="str">
            <v>GELEIAS</v>
          </cell>
          <cell r="I78" t="str">
            <v>GELEIA DE FRUTAS</v>
          </cell>
          <cell r="J78" t="str">
            <v>INTERNO</v>
          </cell>
          <cell r="K78" t="str">
            <v>INTERNO</v>
          </cell>
          <cell r="L78" t="str">
            <v>ATIVO</v>
          </cell>
          <cell r="M78" t="str">
            <v>LANÇAMENTO</v>
          </cell>
          <cell r="N78"/>
          <cell r="O78" t="str">
            <v>LINEA GELEIA DE MAÇÃ COM CANELA 230G</v>
          </cell>
          <cell r="P78" t="str">
            <v>GELEIA SABOR MACA COM CANELA 12X230G</v>
          </cell>
          <cell r="Q78">
            <v>12</v>
          </cell>
        </row>
        <row r="79">
          <cell r="B79">
            <v>430041357</v>
          </cell>
          <cell r="C79">
            <v>410041357</v>
          </cell>
          <cell r="D79" t="str">
            <v>LINEA GELEIA DAMASCO 12X230G</v>
          </cell>
          <cell r="E79" t="str">
            <v>UNIDADE</v>
          </cell>
          <cell r="F79" t="str">
            <v>TODOS</v>
          </cell>
          <cell r="G79" t="str">
            <v>ALIMENTOS</v>
          </cell>
          <cell r="H79" t="str">
            <v>GELEIAS</v>
          </cell>
          <cell r="I79" t="str">
            <v>GELEIA DE FRUTAS</v>
          </cell>
          <cell r="J79" t="str">
            <v>INTERNO</v>
          </cell>
          <cell r="K79" t="str">
            <v>INTERNO</v>
          </cell>
          <cell r="L79" t="str">
            <v>ATIVO</v>
          </cell>
          <cell r="M79" t="str">
            <v>A</v>
          </cell>
          <cell r="N79" t="str">
            <v>TOTAL CLIENTES</v>
          </cell>
          <cell r="O79" t="str">
            <v>LINEA GELEIA DE DAMASCO 230G</v>
          </cell>
          <cell r="P79" t="str">
            <v>GELEIA SABOR DAMASCO 12X230G</v>
          </cell>
          <cell r="Q79">
            <v>12</v>
          </cell>
        </row>
        <row r="80">
          <cell r="B80">
            <v>430041457</v>
          </cell>
          <cell r="C80">
            <v>410041457</v>
          </cell>
          <cell r="D80" t="str">
            <v>LINEA GELEIA FRAMBOESA 12X230G</v>
          </cell>
          <cell r="E80" t="str">
            <v>UNIDADE</v>
          </cell>
          <cell r="F80" t="str">
            <v>TODOS</v>
          </cell>
          <cell r="G80" t="str">
            <v>ALIMENTOS</v>
          </cell>
          <cell r="H80" t="str">
            <v>GELEIAS</v>
          </cell>
          <cell r="I80" t="str">
            <v>GELEIA DE FRUTAS</v>
          </cell>
          <cell r="J80" t="str">
            <v>INTERNO</v>
          </cell>
          <cell r="K80" t="str">
            <v>INTERNO</v>
          </cell>
          <cell r="L80" t="str">
            <v>ATIVO</v>
          </cell>
          <cell r="M80" t="str">
            <v>A</v>
          </cell>
          <cell r="N80" t="str">
            <v>TOTAL CLIENTES</v>
          </cell>
          <cell r="O80" t="str">
            <v>LINEA GELEIA DE FRAMBOESA 230G</v>
          </cell>
          <cell r="P80" t="str">
            <v>GELEIA SABOR FRAMBOESA 12X230G</v>
          </cell>
          <cell r="Q80">
            <v>12</v>
          </cell>
        </row>
        <row r="81">
          <cell r="B81">
            <v>430041557</v>
          </cell>
          <cell r="C81">
            <v>410041557</v>
          </cell>
          <cell r="D81" t="str">
            <v>LINEA GELEIA GOIABA 12X230G</v>
          </cell>
          <cell r="E81" t="str">
            <v>UNIDADE</v>
          </cell>
          <cell r="F81" t="str">
            <v>TODOS</v>
          </cell>
          <cell r="G81" t="str">
            <v>ALIMENTOS</v>
          </cell>
          <cell r="H81" t="str">
            <v>GELEIAS</v>
          </cell>
          <cell r="I81" t="str">
            <v>GELEIA DE FRUTAS</v>
          </cell>
          <cell r="J81" t="str">
            <v>INTERNO</v>
          </cell>
          <cell r="K81" t="str">
            <v>INTERNO</v>
          </cell>
          <cell r="L81" t="str">
            <v>ATIVO</v>
          </cell>
          <cell r="M81" t="str">
            <v>A</v>
          </cell>
          <cell r="N81" t="str">
            <v>TOTAL CLIENTES</v>
          </cell>
          <cell r="O81" t="str">
            <v>LINEA GELEIA DE GOIABA 230G</v>
          </cell>
          <cell r="P81" t="str">
            <v>GELEIA SABOR GOIABA 12X230G</v>
          </cell>
          <cell r="Q81">
            <v>12</v>
          </cell>
        </row>
        <row r="82">
          <cell r="B82">
            <v>430042957</v>
          </cell>
          <cell r="C82">
            <v>410042957</v>
          </cell>
          <cell r="D82" t="str">
            <v>LINEA GELEIA AMORA 12X230G</v>
          </cell>
          <cell r="E82" t="str">
            <v>UNIDADE</v>
          </cell>
          <cell r="F82" t="str">
            <v>TODOS</v>
          </cell>
          <cell r="G82" t="str">
            <v>ALIMENTOS</v>
          </cell>
          <cell r="H82" t="str">
            <v>GELEIAS</v>
          </cell>
          <cell r="I82" t="str">
            <v>GELEIA DE FRUTAS</v>
          </cell>
          <cell r="J82" t="str">
            <v>INTERNO</v>
          </cell>
          <cell r="K82" t="str">
            <v>INTERNO</v>
          </cell>
          <cell r="L82" t="str">
            <v>ATIVO</v>
          </cell>
          <cell r="M82" t="str">
            <v>A</v>
          </cell>
          <cell r="N82" t="str">
            <v>TOTAL CLIENTES</v>
          </cell>
          <cell r="O82" t="str">
            <v>LINEA GELEIA DE AMORA 230G</v>
          </cell>
          <cell r="P82" t="str">
            <v>GELEIA SABOR AMORA 12X230G</v>
          </cell>
          <cell r="Q82">
            <v>12</v>
          </cell>
        </row>
        <row r="83">
          <cell r="B83">
            <v>430043057</v>
          </cell>
          <cell r="C83">
            <v>410043057</v>
          </cell>
          <cell r="D83" t="str">
            <v>LINEA GELEIA JABUTICABA 12X230G</v>
          </cell>
          <cell r="E83" t="str">
            <v>UNIDADE</v>
          </cell>
          <cell r="F83" t="str">
            <v>TODOS</v>
          </cell>
          <cell r="G83" t="str">
            <v>ALIMENTOS</v>
          </cell>
          <cell r="H83" t="str">
            <v>GELEIAS</v>
          </cell>
          <cell r="I83" t="str">
            <v>GELEIA DE FRUTAS</v>
          </cell>
          <cell r="J83" t="str">
            <v>INTERNO</v>
          </cell>
          <cell r="K83" t="str">
            <v>INTERNO</v>
          </cell>
          <cell r="L83" t="str">
            <v>ATIVO</v>
          </cell>
          <cell r="M83" t="str">
            <v>B</v>
          </cell>
          <cell r="N83" t="str">
            <v>TOTAL CLIENTES</v>
          </cell>
          <cell r="O83" t="str">
            <v>LINEA GELEIA DE JABUTICABA 230G</v>
          </cell>
          <cell r="P83" t="str">
            <v>GELEIA SABOR JABUTICABA 12X230G</v>
          </cell>
          <cell r="Q83">
            <v>12</v>
          </cell>
        </row>
        <row r="84">
          <cell r="B84">
            <v>430043157</v>
          </cell>
          <cell r="C84">
            <v>410043157</v>
          </cell>
          <cell r="D84" t="str">
            <v>LINEA GELEIA MIRTILO 12X230G</v>
          </cell>
          <cell r="E84" t="str">
            <v>UNIDADE</v>
          </cell>
          <cell r="F84" t="str">
            <v>TODOS</v>
          </cell>
          <cell r="G84" t="str">
            <v>ALIMENTOS</v>
          </cell>
          <cell r="H84" t="str">
            <v>GELEIAS</v>
          </cell>
          <cell r="I84" t="str">
            <v>GELEIA DE FRUTAS</v>
          </cell>
          <cell r="J84" t="str">
            <v>INTERNO</v>
          </cell>
          <cell r="K84" t="str">
            <v>INTERNO</v>
          </cell>
          <cell r="L84" t="str">
            <v>ATIVO</v>
          </cell>
          <cell r="M84" t="str">
            <v>A</v>
          </cell>
          <cell r="N84" t="str">
            <v>TOTAL CLIENTES</v>
          </cell>
          <cell r="O84" t="str">
            <v>LINEA GELEIA DE MIRTILO 230G</v>
          </cell>
          <cell r="P84" t="str">
            <v>GELEIA SABOR MIRTILO 12X230G</v>
          </cell>
          <cell r="Q84">
            <v>12</v>
          </cell>
        </row>
        <row r="85">
          <cell r="B85">
            <v>430040257</v>
          </cell>
          <cell r="C85">
            <v>410040257</v>
          </cell>
          <cell r="D85" t="str">
            <v>LINEA GELEIA DE PIMENTA VERMELHA 12X230G</v>
          </cell>
          <cell r="E85" t="str">
            <v>UNIDADE</v>
          </cell>
          <cell r="F85" t="str">
            <v>TODOS</v>
          </cell>
          <cell r="G85" t="str">
            <v>ALIMENTOS</v>
          </cell>
          <cell r="H85" t="str">
            <v>GELEIAS</v>
          </cell>
          <cell r="I85" t="str">
            <v>GELEIAS ESPECIAIS</v>
          </cell>
          <cell r="J85" t="str">
            <v>INTERNO</v>
          </cell>
          <cell r="K85" t="str">
            <v>INTERNO</v>
          </cell>
          <cell r="L85" t="str">
            <v>ATIVO</v>
          </cell>
          <cell r="M85" t="str">
            <v>A</v>
          </cell>
          <cell r="N85" t="str">
            <v>TOTAL CLIENTES</v>
          </cell>
          <cell r="O85" t="str">
            <v>LINEA GELEIA DE PIMENTA VERMELHA 230G</v>
          </cell>
          <cell r="P85" t="str">
            <v>GELEIA SABOR PIMENTA 12X230G</v>
          </cell>
          <cell r="Q85">
            <v>12</v>
          </cell>
        </row>
        <row r="86">
          <cell r="B86">
            <v>430040557</v>
          </cell>
          <cell r="C86">
            <v>410040557</v>
          </cell>
          <cell r="D86" t="str">
            <v>LINEA GELEIA DE CEBOLA CARAMELIZADA 12X230G</v>
          </cell>
          <cell r="E86" t="str">
            <v>UNIDADE</v>
          </cell>
          <cell r="F86" t="str">
            <v>TODOS</v>
          </cell>
          <cell r="G86" t="str">
            <v>ALIMENTOS</v>
          </cell>
          <cell r="H86" t="str">
            <v>GELEIAS</v>
          </cell>
          <cell r="I86" t="str">
            <v>GELEIAS ESPECIAIS</v>
          </cell>
          <cell r="J86" t="str">
            <v>INTERNO</v>
          </cell>
          <cell r="K86" t="str">
            <v>INTERNO</v>
          </cell>
          <cell r="L86" t="str">
            <v>ATIVO</v>
          </cell>
          <cell r="M86" t="str">
            <v>B</v>
          </cell>
          <cell r="N86" t="str">
            <v>TOTAL CLIENTES</v>
          </cell>
          <cell r="O86" t="str">
            <v>LINEA GELEIA DE CEBOLA CARAMELIZADA 230G</v>
          </cell>
          <cell r="P86" t="str">
            <v>GELEIA SABOR CEBOLA CARAMELIZADA 12X230G</v>
          </cell>
          <cell r="Q86">
            <v>12</v>
          </cell>
        </row>
        <row r="87">
          <cell r="B87">
            <v>430313403</v>
          </cell>
          <cell r="C87">
            <v>410313464</v>
          </cell>
          <cell r="D87" t="str">
            <v>LINEA CHOCOLATE LEITE 4X15X30G</v>
          </cell>
          <cell r="E87" t="str">
            <v>UNIDADE</v>
          </cell>
          <cell r="F87" t="str">
            <v>TODOS</v>
          </cell>
          <cell r="G87" t="str">
            <v>ALIMENTOS</v>
          </cell>
          <cell r="H87" t="str">
            <v>CHOCOLATES</v>
          </cell>
          <cell r="I87" t="str">
            <v>IMPULSO</v>
          </cell>
          <cell r="J87" t="str">
            <v>COPACKER</v>
          </cell>
          <cell r="K87" t="str">
            <v>ESPECIALLIS</v>
          </cell>
          <cell r="L87" t="str">
            <v>ATIVO</v>
          </cell>
          <cell r="M87" t="str">
            <v>A</v>
          </cell>
          <cell r="N87" t="str">
            <v>TOTAL CLIENTES</v>
          </cell>
          <cell r="O87" t="str">
            <v>LINEA CHOCOLATE AO LEITE 30G - 15 UNIDADES</v>
          </cell>
          <cell r="P87" t="str">
            <v>CHOCOLATE AO LEITE LINEA 4X15X30G</v>
          </cell>
          <cell r="Q87">
            <v>60</v>
          </cell>
        </row>
        <row r="88">
          <cell r="B88">
            <v>430313503</v>
          </cell>
          <cell r="C88">
            <v>410313564</v>
          </cell>
          <cell r="D88" t="str">
            <v>LINEA CHOCOLATE DARK 4X15X30G</v>
          </cell>
          <cell r="E88" t="str">
            <v>UNIDADE</v>
          </cell>
          <cell r="F88" t="str">
            <v>TODOS</v>
          </cell>
          <cell r="G88" t="str">
            <v>ALIMENTOS</v>
          </cell>
          <cell r="H88" t="str">
            <v>CHOCOLATES</v>
          </cell>
          <cell r="I88" t="str">
            <v>IMPULSO</v>
          </cell>
          <cell r="J88" t="str">
            <v>COPACKER</v>
          </cell>
          <cell r="K88" t="str">
            <v>ESPECIALLIS</v>
          </cell>
          <cell r="L88" t="str">
            <v>ATIVO</v>
          </cell>
          <cell r="M88" t="str">
            <v>A</v>
          </cell>
          <cell r="N88" t="str">
            <v>TOTAL CLIENTES</v>
          </cell>
          <cell r="O88" t="str">
            <v>LINEA CHOCOLATE DARK 30G - 15 UNIDADES</v>
          </cell>
          <cell r="P88" t="str">
            <v>CHOCOLATE DARKLINEA 4X15X30G</v>
          </cell>
          <cell r="Q88">
            <v>60</v>
          </cell>
        </row>
        <row r="89">
          <cell r="B89">
            <v>430313603</v>
          </cell>
          <cell r="C89">
            <v>410313664</v>
          </cell>
          <cell r="D89" t="str">
            <v>LINEA CHOCOLATE BRANCO 4X15X30G</v>
          </cell>
          <cell r="E89" t="str">
            <v>UNIDADE</v>
          </cell>
          <cell r="F89" t="str">
            <v>TODOS</v>
          </cell>
          <cell r="G89" t="str">
            <v>ALIMENTOS</v>
          </cell>
          <cell r="H89" t="str">
            <v>CHOCOLATES</v>
          </cell>
          <cell r="I89" t="str">
            <v>IMPULSO</v>
          </cell>
          <cell r="J89" t="str">
            <v>COPACKER</v>
          </cell>
          <cell r="K89" t="str">
            <v>ESPECIALLIS</v>
          </cell>
          <cell r="L89" t="str">
            <v>ATIVO</v>
          </cell>
          <cell r="M89" t="str">
            <v>A</v>
          </cell>
          <cell r="N89" t="str">
            <v>TOTAL CLIENTES</v>
          </cell>
          <cell r="O89" t="str">
            <v>LINEA CHOCOLATE BRANCO 30G - 15 UNIDADES</v>
          </cell>
          <cell r="P89" t="str">
            <v>CHOCOLATE BRANCO LINEA 4X15X30G</v>
          </cell>
          <cell r="Q89">
            <v>60</v>
          </cell>
        </row>
        <row r="90">
          <cell r="B90">
            <v>430316503</v>
          </cell>
          <cell r="C90">
            <v>410316564</v>
          </cell>
          <cell r="D90" t="str">
            <v>LINEA CHOCOLATE LEITE ZERO LACT 4X15X30G</v>
          </cell>
          <cell r="E90" t="str">
            <v>UNIDADE</v>
          </cell>
          <cell r="F90" t="str">
            <v>TODOS</v>
          </cell>
          <cell r="G90" t="str">
            <v>ALIMENTOS</v>
          </cell>
          <cell r="H90" t="str">
            <v>CHOCOLATES</v>
          </cell>
          <cell r="I90" t="str">
            <v>IMPULSO</v>
          </cell>
          <cell r="J90" t="str">
            <v>COPACKER</v>
          </cell>
          <cell r="K90" t="str">
            <v>ESPECIALLIS</v>
          </cell>
          <cell r="L90" t="str">
            <v>ATIVO</v>
          </cell>
          <cell r="M90" t="str">
            <v>A</v>
          </cell>
          <cell r="N90" t="str">
            <v>TOTAL CLIENTES</v>
          </cell>
          <cell r="O90" t="str">
            <v>LINEA CHOCOLATE AO LEITE ZERO LACTOSE 30G - 15 UNIDADES</v>
          </cell>
          <cell r="P90" t="str">
            <v>CHOCOLATE AO LEITE ZERO LACTOSE LINEA 4X15X30G</v>
          </cell>
          <cell r="Q90">
            <v>60</v>
          </cell>
        </row>
        <row r="91">
          <cell r="B91">
            <v>430316603</v>
          </cell>
          <cell r="C91">
            <v>410316664</v>
          </cell>
          <cell r="D91" t="str">
            <v>LINEA CHOCOLATE BRANCO ZERO LACT 4X15X30G</v>
          </cell>
          <cell r="E91" t="str">
            <v>UNIDADE</v>
          </cell>
          <cell r="F91" t="str">
            <v>TODOS</v>
          </cell>
          <cell r="G91" t="str">
            <v>ALIMENTOS</v>
          </cell>
          <cell r="H91" t="str">
            <v>CHOCOLATES</v>
          </cell>
          <cell r="I91" t="str">
            <v>IMPULSO</v>
          </cell>
          <cell r="J91" t="str">
            <v>COPACKER</v>
          </cell>
          <cell r="K91" t="str">
            <v>ESPECIALLIS</v>
          </cell>
          <cell r="L91" t="str">
            <v>ATIVO</v>
          </cell>
          <cell r="M91" t="str">
            <v>B</v>
          </cell>
          <cell r="N91" t="str">
            <v>TOTAL CLIENTES</v>
          </cell>
          <cell r="O91" t="str">
            <v>LINEA CHOCO IMPULSO BRANCO ZERO LACTOSE 30G - 15 UNIDADES</v>
          </cell>
          <cell r="P91" t="str">
            <v>CHOCOLATE BRANCO ZERO LACTOSE 4X15X30G</v>
          </cell>
          <cell r="Q91">
            <v>60</v>
          </cell>
        </row>
        <row r="92">
          <cell r="B92">
            <v>430316903</v>
          </cell>
          <cell r="C92">
            <v>410316964</v>
          </cell>
          <cell r="D92" t="str">
            <v>LINEA CHOCOLATE BCO COOKIES CR 4X15X30G</v>
          </cell>
          <cell r="E92" t="str">
            <v>UNIDADE</v>
          </cell>
          <cell r="F92" t="str">
            <v>TODOS</v>
          </cell>
          <cell r="G92" t="str">
            <v>ALIMENTOS</v>
          </cell>
          <cell r="H92" t="str">
            <v>CHOCOLATES</v>
          </cell>
          <cell r="I92" t="str">
            <v>IMPULSO</v>
          </cell>
          <cell r="J92" t="str">
            <v>COPACKER</v>
          </cell>
          <cell r="K92" t="str">
            <v>ESPECIALLIS</v>
          </cell>
          <cell r="L92" t="str">
            <v>ATIVO</v>
          </cell>
          <cell r="M92" t="str">
            <v>A</v>
          </cell>
          <cell r="N92" t="str">
            <v>TOTAL CLIENTES</v>
          </cell>
          <cell r="O92" t="str">
            <v>LINEA CHOCOLATE COOKIES'N CREAM  30G - 15 UNIDADES</v>
          </cell>
          <cell r="P92" t="str">
            <v>CHOCOLATE BRANCO COOKIES N' CREAM LINEA 4X15X30G</v>
          </cell>
          <cell r="Q92">
            <v>60</v>
          </cell>
        </row>
        <row r="93">
          <cell r="B93">
            <v>430312003</v>
          </cell>
          <cell r="C93">
            <v>410312064</v>
          </cell>
          <cell r="D93" t="str">
            <v>LINEA CHOC VEGANO BR C/ FR VERM 4X15X30G</v>
          </cell>
          <cell r="E93" t="str">
            <v>UNIDADE</v>
          </cell>
          <cell r="F93" t="str">
            <v>TODOS</v>
          </cell>
          <cell r="G93" t="str">
            <v>ALIMENTOS</v>
          </cell>
          <cell r="H93" t="str">
            <v>CHOCOLATES</v>
          </cell>
          <cell r="I93" t="str">
            <v>IMPULSO VEGANO</v>
          </cell>
          <cell r="J93" t="str">
            <v>COPACKER</v>
          </cell>
          <cell r="K93" t="str">
            <v>GOLDKO / ESPECIALLIS</v>
          </cell>
          <cell r="L93" t="str">
            <v>ATIVO</v>
          </cell>
          <cell r="M93" t="str">
            <v>LANÇAMENTO</v>
          </cell>
          <cell r="N93"/>
          <cell r="O93" t="str">
            <v>LINEA CHOCO VEGANO BRANCO COM FRUTAS VERMELHAS 30G - 15 UNIDADES</v>
          </cell>
          <cell r="P93" t="str">
            <v>CHOCOLATE BR C/ FR VERM VEGANO 4X15X30G</v>
          </cell>
          <cell r="Q93">
            <v>60</v>
          </cell>
        </row>
        <row r="94">
          <cell r="B94">
            <v>430312103</v>
          </cell>
          <cell r="C94">
            <v>410312164</v>
          </cell>
          <cell r="D94" t="str">
            <v>LINEA CHOC VEGANO LEITE C/ NIBS 4X15X30G</v>
          </cell>
          <cell r="E94" t="str">
            <v>UNIDADE</v>
          </cell>
          <cell r="F94" t="str">
            <v>TODOS</v>
          </cell>
          <cell r="G94" t="str">
            <v>ALIMENTOS</v>
          </cell>
          <cell r="H94" t="str">
            <v>CHOCOLATES</v>
          </cell>
          <cell r="I94" t="str">
            <v>IMPULSO VEGANO</v>
          </cell>
          <cell r="J94" t="str">
            <v>COPACKER</v>
          </cell>
          <cell r="K94" t="str">
            <v>GOLDKO / ESPECIALLIS</v>
          </cell>
          <cell r="L94" t="str">
            <v>ATIVO</v>
          </cell>
          <cell r="M94" t="str">
            <v>LANÇAMENTO</v>
          </cell>
          <cell r="N94"/>
          <cell r="O94" t="str">
            <v>LINEA CHOCO VEGANO AO LEITE COM NIBS 30G - 15 UNIDADES</v>
          </cell>
          <cell r="P94" t="str">
            <v>CHOCOLATE AO LEITE C/ NIBS VEGANO 4X15X30G</v>
          </cell>
          <cell r="Q94">
            <v>60</v>
          </cell>
        </row>
        <row r="95">
          <cell r="B95">
            <v>430260057</v>
          </cell>
          <cell r="C95">
            <v>410260057</v>
          </cell>
          <cell r="D95" t="str">
            <v>LINEA LEITE CONDENSADO 12X210G</v>
          </cell>
          <cell r="E95" t="str">
            <v>UNIDADE</v>
          </cell>
          <cell r="F95" t="str">
            <v>TODOS</v>
          </cell>
          <cell r="G95" t="str">
            <v>ALIMENTOS</v>
          </cell>
          <cell r="H95" t="str">
            <v>OUTROS</v>
          </cell>
          <cell r="I95" t="str">
            <v>LEITE CONDENSADO</v>
          </cell>
          <cell r="J95" t="str">
            <v>COPACKER</v>
          </cell>
          <cell r="K95" t="str">
            <v>RESERVA DE MINAS</v>
          </cell>
          <cell r="L95" t="str">
            <v>ATIVO</v>
          </cell>
          <cell r="M95" t="str">
            <v>B</v>
          </cell>
          <cell r="N95" t="str">
            <v>TOTAL CLIENTES</v>
          </cell>
          <cell r="O95" t="str">
            <v>LINEA LEITE CONDENSADO 210G</v>
          </cell>
          <cell r="P95" t="str">
            <v>LEITE CONDENSADO LINEA 12X210G</v>
          </cell>
          <cell r="Q95">
            <v>12</v>
          </cell>
        </row>
        <row r="96">
          <cell r="B96">
            <v>430360287</v>
          </cell>
          <cell r="C96">
            <v>410360287</v>
          </cell>
          <cell r="D96" t="str">
            <v>LINEA MIST BOLO CHOCOL 8X300G</v>
          </cell>
          <cell r="E96" t="str">
            <v>UNIDADE</v>
          </cell>
          <cell r="F96" t="str">
            <v>TODOS</v>
          </cell>
          <cell r="G96" t="str">
            <v>ALIMENTOS</v>
          </cell>
          <cell r="H96" t="str">
            <v>SOBREMESAS EM PÓ</v>
          </cell>
          <cell r="I96" t="str">
            <v>MISTURA PARA BOLO</v>
          </cell>
          <cell r="J96" t="str">
            <v>INTERNO</v>
          </cell>
          <cell r="K96" t="str">
            <v>INTERNO</v>
          </cell>
          <cell r="L96" t="str">
            <v>ATIVO</v>
          </cell>
          <cell r="M96" t="str">
            <v>C</v>
          </cell>
          <cell r="N96" t="str">
            <v>TOTAL CLIENTES</v>
          </cell>
          <cell r="O96" t="str">
            <v>LINEA MISTURA PARA BOLO CHOCOLATE 300G</v>
          </cell>
          <cell r="P96" t="str">
            <v>MISTURA PARA BOLO LINEA CHOCOLATE 8X300G</v>
          </cell>
          <cell r="Q96">
            <v>8</v>
          </cell>
        </row>
        <row r="97">
          <cell r="B97">
            <v>430360387</v>
          </cell>
          <cell r="C97">
            <v>410360387</v>
          </cell>
          <cell r="D97" t="str">
            <v>LINEA MIST BOLO BAUNIL 8X300G</v>
          </cell>
          <cell r="E97" t="str">
            <v>UNIDADE</v>
          </cell>
          <cell r="F97" t="str">
            <v>TODOS</v>
          </cell>
          <cell r="G97" t="str">
            <v>ALIMENTOS</v>
          </cell>
          <cell r="H97" t="str">
            <v>SOBREMESAS EM PÓ</v>
          </cell>
          <cell r="I97" t="str">
            <v>MISTURA PARA BOLO</v>
          </cell>
          <cell r="J97" t="str">
            <v>INTERNO</v>
          </cell>
          <cell r="K97" t="str">
            <v>INTERNO</v>
          </cell>
          <cell r="L97" t="str">
            <v>ATIVO</v>
          </cell>
          <cell r="M97" t="str">
            <v>C</v>
          </cell>
          <cell r="N97" t="str">
            <v>TOTAL CLIENTES</v>
          </cell>
          <cell r="O97" t="str">
            <v>LINEA MISTURA PARA BOLO BAUNILHA 300G</v>
          </cell>
          <cell r="P97" t="str">
            <v>MISTURA PARA BOLO LINEA BAUNILHA 8X300G</v>
          </cell>
          <cell r="Q97">
            <v>8</v>
          </cell>
        </row>
        <row r="98">
          <cell r="B98">
            <v>430361087</v>
          </cell>
          <cell r="C98">
            <v>410361087</v>
          </cell>
          <cell r="D98" t="str">
            <v>LINEA MIST BOLO LARANJ 8X300G</v>
          </cell>
          <cell r="E98" t="str">
            <v>UNIDADE</v>
          </cell>
          <cell r="F98" t="str">
            <v>TODOS</v>
          </cell>
          <cell r="G98" t="str">
            <v>ALIMENTOS</v>
          </cell>
          <cell r="H98" t="str">
            <v>SOBREMESAS EM PÓ</v>
          </cell>
          <cell r="I98" t="str">
            <v>MISTURA PARA BOLO</v>
          </cell>
          <cell r="J98" t="str">
            <v>INTERNO</v>
          </cell>
          <cell r="K98" t="str">
            <v>INTERNO</v>
          </cell>
          <cell r="L98" t="str">
            <v>ATIVO</v>
          </cell>
          <cell r="M98" t="str">
            <v>C</v>
          </cell>
          <cell r="N98" t="str">
            <v>TOTAL CLIENTES</v>
          </cell>
          <cell r="O98" t="str">
            <v>LINEA MISTURA PARA BOLO LARANJA 300G</v>
          </cell>
          <cell r="P98" t="str">
            <v>MISTURA PARA BOLO LINEA LARANJA 8X300G</v>
          </cell>
          <cell r="Q98">
            <v>8</v>
          </cell>
        </row>
        <row r="99">
          <cell r="B99">
            <v>430362187</v>
          </cell>
          <cell r="C99">
            <v>410362187</v>
          </cell>
          <cell r="D99" t="str">
            <v>LINEA MIST BOLO COCO 8X300G</v>
          </cell>
          <cell r="E99" t="str">
            <v>UNIDADE</v>
          </cell>
          <cell r="F99" t="str">
            <v>TODOS</v>
          </cell>
          <cell r="G99" t="str">
            <v>ALIMENTOS</v>
          </cell>
          <cell r="H99" t="str">
            <v>SOBREMESAS EM PÓ</v>
          </cell>
          <cell r="I99" t="str">
            <v>MISTURA PARA BOLO</v>
          </cell>
          <cell r="J99" t="str">
            <v>INTERNO</v>
          </cell>
          <cell r="K99" t="str">
            <v>INTERNO</v>
          </cell>
          <cell r="L99" t="str">
            <v>ATIVO</v>
          </cell>
          <cell r="M99" t="str">
            <v>C</v>
          </cell>
          <cell r="N99" t="str">
            <v>TOTAL CLIENTES</v>
          </cell>
          <cell r="O99" t="str">
            <v>LINEA MISTURA PARA BOLO COCO 300G</v>
          </cell>
          <cell r="P99" t="str">
            <v>MISTURA PARA BOLO LINEA COCO 8X300G</v>
          </cell>
          <cell r="Q99">
            <v>8</v>
          </cell>
        </row>
        <row r="100">
          <cell r="B100">
            <v>430425715</v>
          </cell>
          <cell r="C100">
            <v>410425715</v>
          </cell>
          <cell r="D100" t="str">
            <v>LINEA MOLHO KETCHUP 12X350G</v>
          </cell>
          <cell r="E100" t="str">
            <v>UNIDADE</v>
          </cell>
          <cell r="F100" t="str">
            <v>TODOS</v>
          </cell>
          <cell r="G100" t="str">
            <v>ALIMENTOS</v>
          </cell>
          <cell r="H100" t="str">
            <v>OUTROS</v>
          </cell>
          <cell r="I100" t="str">
            <v>MOLHOS</v>
          </cell>
          <cell r="J100" t="str">
            <v>COPACKER</v>
          </cell>
          <cell r="K100" t="str">
            <v>HIPERMASSAS</v>
          </cell>
          <cell r="L100" t="str">
            <v>ATIVO</v>
          </cell>
          <cell r="M100" t="str">
            <v>B</v>
          </cell>
          <cell r="N100" t="str">
            <v>TOTAL CLIENTES</v>
          </cell>
          <cell r="O100" t="str">
            <v>LINEA MOLHO KETCHUP 350G</v>
          </cell>
          <cell r="P100" t="str">
            <v xml:space="preserve">KETCHUP LINEA 12X350G         </v>
          </cell>
          <cell r="Q100">
            <v>12</v>
          </cell>
        </row>
        <row r="101">
          <cell r="B101">
            <v>430425815</v>
          </cell>
          <cell r="C101">
            <v>410425815</v>
          </cell>
          <cell r="D101" t="str">
            <v>LINEA MOLHO BARBECUE 12X350G</v>
          </cell>
          <cell r="E101" t="str">
            <v>UNIDADE</v>
          </cell>
          <cell r="F101" t="str">
            <v>TODOS</v>
          </cell>
          <cell r="G101" t="str">
            <v>ALIMENTOS</v>
          </cell>
          <cell r="H101" t="str">
            <v>OUTROS</v>
          </cell>
          <cell r="I101" t="str">
            <v>MOLHOS</v>
          </cell>
          <cell r="J101" t="str">
            <v>COPACKER</v>
          </cell>
          <cell r="K101" t="str">
            <v>HIPERMASSAS</v>
          </cell>
          <cell r="L101" t="str">
            <v>ATIVO</v>
          </cell>
          <cell r="M101" t="str">
            <v>B</v>
          </cell>
          <cell r="N101" t="str">
            <v>TOTAL CLIENTES</v>
          </cell>
          <cell r="O101" t="str">
            <v>LINEA MOLHO BARBECUE 350G</v>
          </cell>
          <cell r="P101" t="str">
            <v xml:space="preserve">MOLHO BARBECUE LINEA 12X350G </v>
          </cell>
          <cell r="Q101">
            <v>12</v>
          </cell>
        </row>
        <row r="102">
          <cell r="B102">
            <v>430426015</v>
          </cell>
          <cell r="C102">
            <v>410426015</v>
          </cell>
          <cell r="D102" t="str">
            <v>LINEA MOLHO MOSTARDA 12X350G</v>
          </cell>
          <cell r="E102" t="str">
            <v>UNIDADE</v>
          </cell>
          <cell r="F102" t="str">
            <v>TODOS</v>
          </cell>
          <cell r="G102" t="str">
            <v>ALIMENTOS</v>
          </cell>
          <cell r="H102" t="str">
            <v>OUTROS</v>
          </cell>
          <cell r="I102" t="str">
            <v>MOLHOS</v>
          </cell>
          <cell r="J102" t="str">
            <v>COPACKER</v>
          </cell>
          <cell r="K102" t="str">
            <v>HIPERMASSAS</v>
          </cell>
          <cell r="L102" t="str">
            <v>ATIVO</v>
          </cell>
          <cell r="M102" t="str">
            <v>B</v>
          </cell>
          <cell r="N102" t="str">
            <v>TOTAL CLIENTES</v>
          </cell>
          <cell r="O102" t="str">
            <v>LINEA MOLHO MOSTARDA 350G</v>
          </cell>
          <cell r="P102" t="str">
            <v xml:space="preserve">MOLHO MOSTARDA LINEA 12X350G  </v>
          </cell>
          <cell r="Q102">
            <v>12</v>
          </cell>
        </row>
        <row r="103">
          <cell r="B103">
            <v>430430225</v>
          </cell>
          <cell r="C103">
            <v>410430225</v>
          </cell>
          <cell r="D103" t="str">
            <v>LINEA PIPOCA PRONT CHOCO 12X50G</v>
          </cell>
          <cell r="E103" t="str">
            <v>UNIDADE</v>
          </cell>
          <cell r="F103" t="str">
            <v>TODOS</v>
          </cell>
          <cell r="G103" t="str">
            <v>ALIMENTOS</v>
          </cell>
          <cell r="H103" t="str">
            <v>OUTROS</v>
          </cell>
          <cell r="I103" t="str">
            <v>PIPOCA</v>
          </cell>
          <cell r="J103" t="str">
            <v>COPACKER</v>
          </cell>
          <cell r="K103" t="str">
            <v>MOINHO ROMARIZ</v>
          </cell>
          <cell r="L103" t="str">
            <v>ATIVO</v>
          </cell>
          <cell r="M103" t="str">
            <v>B</v>
          </cell>
          <cell r="N103" t="str">
            <v>TOTAL CLIENTES</v>
          </cell>
          <cell r="O103" t="str">
            <v>LINEA PIPOCA DE CHOCOLATE 50G</v>
          </cell>
          <cell r="P103" t="str">
            <v>PIPOCA PRONTA SABOR CHOCOLATE LINEA 12X50G</v>
          </cell>
          <cell r="Q103">
            <v>12</v>
          </cell>
        </row>
        <row r="104">
          <cell r="B104">
            <v>430436125</v>
          </cell>
          <cell r="C104">
            <v>410436125</v>
          </cell>
          <cell r="D104" t="str">
            <v>LINEA PIPOCA PRONT CARAM 12X50G</v>
          </cell>
          <cell r="E104" t="str">
            <v>UNIDADE</v>
          </cell>
          <cell r="F104" t="str">
            <v>TODOS</v>
          </cell>
          <cell r="G104" t="str">
            <v>ALIMENTOS</v>
          </cell>
          <cell r="H104" t="str">
            <v>OUTROS</v>
          </cell>
          <cell r="I104" t="str">
            <v>PIPOCA</v>
          </cell>
          <cell r="J104" t="str">
            <v>COPACKER</v>
          </cell>
          <cell r="K104" t="str">
            <v>MOINHO ROMARIZ</v>
          </cell>
          <cell r="L104" t="str">
            <v>ATIVO</v>
          </cell>
          <cell r="M104" t="str">
            <v>B</v>
          </cell>
          <cell r="N104" t="str">
            <v>TOTAL CLIENTES</v>
          </cell>
          <cell r="O104" t="str">
            <v>LINEA PIPOCA DE CARAMELO 50G</v>
          </cell>
          <cell r="P104" t="str">
            <v>PIPOCA PRONTA SABOR CARAMELO LINEA 12X50G</v>
          </cell>
          <cell r="Q104">
            <v>12</v>
          </cell>
        </row>
        <row r="105">
          <cell r="B105">
            <v>430270138</v>
          </cell>
          <cell r="C105">
            <v>410270138</v>
          </cell>
          <cell r="D105" t="str">
            <v>LINEA PUDIM PO MORANGO 24X25G</v>
          </cell>
          <cell r="E105" t="str">
            <v>UNIDADE</v>
          </cell>
          <cell r="F105" t="str">
            <v>TODOS</v>
          </cell>
          <cell r="G105" t="str">
            <v>ALIMENTOS</v>
          </cell>
          <cell r="H105" t="str">
            <v>SOBREMESAS EM PÓ</v>
          </cell>
          <cell r="I105" t="str">
            <v>PUDIM</v>
          </cell>
          <cell r="J105" t="str">
            <v>INTERNO</v>
          </cell>
          <cell r="K105" t="str">
            <v>INTERNO</v>
          </cell>
          <cell r="L105" t="str">
            <v>ATIVO</v>
          </cell>
          <cell r="M105" t="str">
            <v>C</v>
          </cell>
          <cell r="N105" t="str">
            <v>TOTAL CLIENTES</v>
          </cell>
          <cell r="O105" t="str">
            <v>LINEA PUDIM DE MORANGO 25G</v>
          </cell>
          <cell r="P105" t="str">
            <v>PUDIM PÓ SABOR MORANGO LINEA 24X25G</v>
          </cell>
          <cell r="Q105">
            <v>24</v>
          </cell>
        </row>
        <row r="106">
          <cell r="B106">
            <v>430270240</v>
          </cell>
          <cell r="C106">
            <v>410270240</v>
          </cell>
          <cell r="D106" t="str">
            <v>LINEA PUDIM PO CHOCOLATE 24X30G</v>
          </cell>
          <cell r="E106" t="str">
            <v>UNIDADE</v>
          </cell>
          <cell r="F106" t="str">
            <v>TODOS</v>
          </cell>
          <cell r="G106" t="str">
            <v>ALIMENTOS</v>
          </cell>
          <cell r="H106" t="str">
            <v>SOBREMESAS EM PÓ</v>
          </cell>
          <cell r="I106" t="str">
            <v>PUDIM</v>
          </cell>
          <cell r="J106" t="str">
            <v>INTERNO</v>
          </cell>
          <cell r="K106" t="str">
            <v>INTERNO</v>
          </cell>
          <cell r="L106" t="str">
            <v>ATIVO</v>
          </cell>
          <cell r="M106" t="str">
            <v>B</v>
          </cell>
          <cell r="N106" t="str">
            <v>LINEA PUDIM DE CHOCOLATE 30G</v>
          </cell>
          <cell r="O106" t="str">
            <v>LINEA PUDIM DE CHOCOLATE 30G</v>
          </cell>
          <cell r="P106" t="str">
            <v>PUDIM PÓ SABOR CHOCOLATE LINEA 24X30G</v>
          </cell>
          <cell r="Q106">
            <v>24</v>
          </cell>
        </row>
        <row r="107">
          <cell r="B107">
            <v>430270338</v>
          </cell>
          <cell r="C107">
            <v>410270338</v>
          </cell>
          <cell r="D107" t="str">
            <v>LINEA PUDIM PO BAUNILHA 24X25G</v>
          </cell>
          <cell r="E107" t="str">
            <v>UNIDADE</v>
          </cell>
          <cell r="F107" t="str">
            <v>TODOS</v>
          </cell>
          <cell r="G107" t="str">
            <v>ALIMENTOS</v>
          </cell>
          <cell r="H107" t="str">
            <v>SOBREMESAS EM PÓ</v>
          </cell>
          <cell r="I107" t="str">
            <v>PUDIM</v>
          </cell>
          <cell r="J107" t="str">
            <v>INTERNO</v>
          </cell>
          <cell r="K107" t="str">
            <v>INTERNO</v>
          </cell>
          <cell r="L107" t="str">
            <v>ATIVO</v>
          </cell>
          <cell r="M107" t="str">
            <v>C</v>
          </cell>
          <cell r="N107" t="str">
            <v>TOTAL CLIENTES</v>
          </cell>
          <cell r="O107" t="str">
            <v>LINEA PUDIM DE BAUNILHA 25G</v>
          </cell>
          <cell r="P107" t="str">
            <v>PUDIM PÓ SABOR BAUNILHA LINEA 24X25G</v>
          </cell>
          <cell r="Q107">
            <v>24</v>
          </cell>
        </row>
        <row r="108">
          <cell r="B108">
            <v>430272038</v>
          </cell>
          <cell r="C108">
            <v>410272038</v>
          </cell>
          <cell r="D108" t="str">
            <v>LINEA PUDIM PO CARAMELO 24X25G</v>
          </cell>
          <cell r="E108" t="str">
            <v>UNIDADE</v>
          </cell>
          <cell r="F108" t="str">
            <v>TODOS</v>
          </cell>
          <cell r="G108" t="str">
            <v>ALIMENTOS</v>
          </cell>
          <cell r="H108" t="str">
            <v>SOBREMESAS EM PÓ</v>
          </cell>
          <cell r="I108" t="str">
            <v>PUDIM</v>
          </cell>
          <cell r="J108" t="str">
            <v>INTERNO</v>
          </cell>
          <cell r="K108" t="str">
            <v>INTERNO</v>
          </cell>
          <cell r="L108" t="str">
            <v>ATIVO</v>
          </cell>
          <cell r="M108" t="str">
            <v>C</v>
          </cell>
          <cell r="N108" t="str">
            <v>TOTAL CLIENTES</v>
          </cell>
          <cell r="O108" t="str">
            <v>LINEA PUDIM DE CARAMELO 25G</v>
          </cell>
          <cell r="P108" t="str">
            <v>PUDIM PÓ SABOR CARAMELO LINEA 24X25G</v>
          </cell>
          <cell r="Q108">
            <v>24</v>
          </cell>
        </row>
        <row r="109">
          <cell r="B109">
            <v>430272138</v>
          </cell>
          <cell r="C109">
            <v>410272138</v>
          </cell>
          <cell r="D109" t="str">
            <v>LINEA PUDIM PO COCO 24X25G</v>
          </cell>
          <cell r="E109" t="str">
            <v>UNIDADE</v>
          </cell>
          <cell r="F109" t="str">
            <v>TODOS</v>
          </cell>
          <cell r="G109" t="str">
            <v>ALIMENTOS</v>
          </cell>
          <cell r="H109" t="str">
            <v>SOBREMESAS EM PÓ</v>
          </cell>
          <cell r="I109" t="str">
            <v>PUDIM</v>
          </cell>
          <cell r="J109" t="str">
            <v>INTERNO</v>
          </cell>
          <cell r="K109" t="str">
            <v>INTERNO</v>
          </cell>
          <cell r="L109" t="str">
            <v>ATIVO</v>
          </cell>
          <cell r="M109" t="str">
            <v>C</v>
          </cell>
          <cell r="N109" t="str">
            <v>TOTAL CLIENTES</v>
          </cell>
          <cell r="O109" t="str">
            <v>LINEA PUDIM DE COCO 25G</v>
          </cell>
          <cell r="P109" t="str">
            <v>PUDIM PÓ SABOR COCO LINEA 24X25G</v>
          </cell>
          <cell r="Q109">
            <v>24</v>
          </cell>
        </row>
        <row r="110">
          <cell r="B110">
            <v>430060199</v>
          </cell>
          <cell r="C110">
            <v>410060199</v>
          </cell>
          <cell r="D110" t="str">
            <v>LINEA SHAKE PREMIUM MORANGO 12X210G</v>
          </cell>
          <cell r="E110" t="str">
            <v>UNIDADE</v>
          </cell>
          <cell r="F110" t="str">
            <v>TODOS</v>
          </cell>
          <cell r="G110" t="str">
            <v>ALIMENTOS</v>
          </cell>
          <cell r="H110" t="str">
            <v>SHAKE</v>
          </cell>
          <cell r="I110" t="str">
            <v>SHAKE</v>
          </cell>
          <cell r="J110" t="str">
            <v>INTERNO</v>
          </cell>
          <cell r="K110" t="str">
            <v>INTERNO</v>
          </cell>
          <cell r="L110" t="str">
            <v>ATIVO</v>
          </cell>
          <cell r="M110" t="str">
            <v>LANÇAMENTO</v>
          </cell>
          <cell r="N110"/>
          <cell r="O110" t="str">
            <v>LINEA SHAKE PREMIUM MORANGO 210G</v>
          </cell>
          <cell r="P110" t="str">
            <v>LINEA SHAKE PREMIUM MORANGO 12X210G</v>
          </cell>
          <cell r="Q110">
            <v>12</v>
          </cell>
        </row>
        <row r="111">
          <cell r="B111">
            <v>430060299</v>
          </cell>
          <cell r="C111">
            <v>410060299</v>
          </cell>
          <cell r="D111" t="str">
            <v>LINEA SHAKE PREMIUM CHOC 12X210G</v>
          </cell>
          <cell r="E111" t="str">
            <v>UNIDADE</v>
          </cell>
          <cell r="F111" t="str">
            <v>TODOS</v>
          </cell>
          <cell r="G111" t="str">
            <v>ALIMENTOS</v>
          </cell>
          <cell r="H111" t="str">
            <v>SHAKE</v>
          </cell>
          <cell r="I111" t="str">
            <v>SHAKE</v>
          </cell>
          <cell r="J111" t="str">
            <v>INTERNO</v>
          </cell>
          <cell r="K111" t="str">
            <v>INTERNO</v>
          </cell>
          <cell r="L111" t="str">
            <v>ATIVO</v>
          </cell>
          <cell r="M111" t="str">
            <v>LANÇAMENTO</v>
          </cell>
          <cell r="N111"/>
          <cell r="O111" t="str">
            <v>LINEA SHAKE PREMIUM CHOC 210G</v>
          </cell>
          <cell r="P111" t="str">
            <v>LINEA SHAKE PREMIUM CHOC 12X210G</v>
          </cell>
          <cell r="Q111">
            <v>12</v>
          </cell>
        </row>
        <row r="112">
          <cell r="B112">
            <v>430060299</v>
          </cell>
          <cell r="C112">
            <v>410060299</v>
          </cell>
          <cell r="D112" t="str">
            <v>LINEA SHAKE PREMIUM CHOC 12X210G</v>
          </cell>
          <cell r="E112" t="str">
            <v>UNIDADE</v>
          </cell>
          <cell r="F112" t="str">
            <v>TODOS</v>
          </cell>
          <cell r="G112" t="str">
            <v>ALIMENTOS</v>
          </cell>
          <cell r="H112" t="str">
            <v>SHAKE</v>
          </cell>
          <cell r="I112" t="str">
            <v>SHAKE</v>
          </cell>
          <cell r="J112" t="str">
            <v>INTERNO</v>
          </cell>
          <cell r="K112" t="str">
            <v>INTERNO</v>
          </cell>
          <cell r="L112" t="str">
            <v>ATIVO</v>
          </cell>
          <cell r="M112" t="str">
            <v>LANÇAMENTO</v>
          </cell>
          <cell r="N112" t="str">
            <v>TOTAL CLIENTES</v>
          </cell>
          <cell r="O112" t="str">
            <v>LINEA SHAKE PREMIUM CHOC 210G</v>
          </cell>
          <cell r="P112" t="str">
            <v>LINEA SHAKE PREMIUM CHOC 12X210G</v>
          </cell>
          <cell r="Q112">
            <v>12</v>
          </cell>
        </row>
        <row r="113">
          <cell r="B113">
            <v>430060399</v>
          </cell>
          <cell r="C113">
            <v>410060399</v>
          </cell>
          <cell r="D113" t="str">
            <v>LINEA SHAKE PREMIUM BAUNILHA 12X210G</v>
          </cell>
          <cell r="E113" t="str">
            <v>UNIDADE</v>
          </cell>
          <cell r="F113" t="str">
            <v>TODOS</v>
          </cell>
          <cell r="G113" t="str">
            <v>ALIMENTOS</v>
          </cell>
          <cell r="H113" t="str">
            <v>SHAKE</v>
          </cell>
          <cell r="I113" t="str">
            <v>SHAKE</v>
          </cell>
          <cell r="J113" t="str">
            <v>INTERNO</v>
          </cell>
          <cell r="K113" t="str">
            <v>INTERNO</v>
          </cell>
          <cell r="L113" t="str">
            <v>ATIVO</v>
          </cell>
          <cell r="M113" t="str">
            <v>LANÇAMENTO</v>
          </cell>
          <cell r="N113"/>
          <cell r="O113" t="str">
            <v>LINEA SHAKE PREMIUM BAUNILHA 210G</v>
          </cell>
          <cell r="P113" t="str">
            <v>LINEA SHAKE PREMIUM BAUNILHA 12X210G</v>
          </cell>
          <cell r="Q113">
            <v>12</v>
          </cell>
        </row>
        <row r="114">
          <cell r="B114">
            <v>430060499</v>
          </cell>
          <cell r="C114">
            <v>410060499</v>
          </cell>
          <cell r="D114" t="str">
            <v>LINEA SHAKE COOKIES'N CREAM 12X210G</v>
          </cell>
          <cell r="E114" t="str">
            <v>UNIDADE</v>
          </cell>
          <cell r="F114" t="str">
            <v>TODOS</v>
          </cell>
          <cell r="G114" t="str">
            <v>ALIMENTOS</v>
          </cell>
          <cell r="H114" t="str">
            <v>SHAKE</v>
          </cell>
          <cell r="I114" t="str">
            <v>SHAKE</v>
          </cell>
          <cell r="J114" t="str">
            <v>INTERNO</v>
          </cell>
          <cell r="K114" t="str">
            <v>INTERNO</v>
          </cell>
          <cell r="L114" t="str">
            <v>ATIVO</v>
          </cell>
          <cell r="M114" t="str">
            <v>LANÇAMENTO</v>
          </cell>
          <cell r="N114"/>
          <cell r="O114" t="str">
            <v>LINEA SHAKE COOKIES'N CREAM 210G</v>
          </cell>
          <cell r="P114" t="str">
            <v>LINEA SHAKE COOKIES'N CREAM 12X210G</v>
          </cell>
          <cell r="Q114">
            <v>12</v>
          </cell>
        </row>
        <row r="115">
          <cell r="B115">
            <v>430066399</v>
          </cell>
          <cell r="C115">
            <v>410066399</v>
          </cell>
          <cell r="D115" t="str">
            <v>LINEA SHAKE IOGURT C FR VERM 12X210G</v>
          </cell>
          <cell r="E115" t="str">
            <v>UNIDADE</v>
          </cell>
          <cell r="F115" t="str">
            <v>TODOS</v>
          </cell>
          <cell r="G115" t="str">
            <v>ALIMENTOS</v>
          </cell>
          <cell r="H115" t="str">
            <v>SHAKE</v>
          </cell>
          <cell r="I115" t="str">
            <v>SHAKE</v>
          </cell>
          <cell r="J115" t="str">
            <v>INTERNO</v>
          </cell>
          <cell r="K115" t="str">
            <v>INTERNO</v>
          </cell>
          <cell r="L115" t="str">
            <v>ATIVO</v>
          </cell>
          <cell r="M115" t="str">
            <v>LANÇAMENTO</v>
          </cell>
          <cell r="N115"/>
          <cell r="O115" t="str">
            <v>LINEA SHAKE IOGURT C FR VERM 210G</v>
          </cell>
          <cell r="P115" t="str">
            <v>LINEA SHAKE IOGURT C FR VERM 12X210G</v>
          </cell>
          <cell r="Q115">
            <v>12</v>
          </cell>
        </row>
        <row r="116">
          <cell r="B116">
            <v>430024780</v>
          </cell>
          <cell r="C116">
            <v>410026415</v>
          </cell>
          <cell r="D116" t="str">
            <v>LINEA ADOC STEVIA INSTIT 500X0,5G</v>
          </cell>
          <cell r="E116" t="str">
            <v>UNIDADE</v>
          </cell>
          <cell r="F116" t="str">
            <v>SÓ ATACADO E CASH&amp;CARRY</v>
          </cell>
          <cell r="G116" t="str">
            <v>ADOÇANTES</v>
          </cell>
          <cell r="H116" t="str">
            <v>STEVIA</v>
          </cell>
          <cell r="I116" t="str">
            <v>STEVIA INSTITUCIONAL</v>
          </cell>
          <cell r="J116" t="str">
            <v>INTERNO</v>
          </cell>
          <cell r="K116" t="str">
            <v>INTERNO</v>
          </cell>
          <cell r="L116" t="str">
            <v>ATIVO</v>
          </cell>
          <cell r="M116" t="str">
            <v>C</v>
          </cell>
          <cell r="N116"/>
          <cell r="O116" t="str">
            <v>LINEA ADOCANTE EM PO STEVIA 500 SACHES</v>
          </cell>
          <cell r="P116" t="str">
            <v>ADOÇANTE STÉVIA PÓ LINEA 500X0,5G</v>
          </cell>
          <cell r="Q116">
            <v>1</v>
          </cell>
        </row>
        <row r="117">
          <cell r="B117">
            <v>430014791</v>
          </cell>
          <cell r="C117">
            <v>410014791</v>
          </cell>
          <cell r="D117" t="str">
            <v>LINEA ADOC STEVIA LIQ 12X25ML</v>
          </cell>
          <cell r="E117" t="str">
            <v>UNIDADE</v>
          </cell>
          <cell r="F117" t="str">
            <v>TODOS</v>
          </cell>
          <cell r="G117" t="str">
            <v>ADOÇANTES</v>
          </cell>
          <cell r="H117" t="str">
            <v>STEVIA</v>
          </cell>
          <cell r="I117" t="str">
            <v>STEVIA LÍQUIDO</v>
          </cell>
          <cell r="J117" t="str">
            <v>INTERNO</v>
          </cell>
          <cell r="K117" t="str">
            <v>INTERNO</v>
          </cell>
          <cell r="L117" t="str">
            <v>ATIVO</v>
          </cell>
          <cell r="M117" t="str">
            <v>A</v>
          </cell>
          <cell r="N117" t="str">
            <v>TOTAL CLIENTES</v>
          </cell>
          <cell r="O117" t="str">
            <v>LINEA ADOCANTE LIQUIDO STEVIA 100% 25ML</v>
          </cell>
          <cell r="P117" t="str">
            <v>ADOÇANTE STÉVIA LÍQUIDO LINEA 12X25ML</v>
          </cell>
          <cell r="Q117">
            <v>12</v>
          </cell>
        </row>
        <row r="118">
          <cell r="B118">
            <v>430014792</v>
          </cell>
          <cell r="C118">
            <v>410014792</v>
          </cell>
          <cell r="D118" t="str">
            <v>LINEA ADOC STEVIA LIQ 12X60ML</v>
          </cell>
          <cell r="E118" t="str">
            <v>UNIDADE</v>
          </cell>
          <cell r="F118" t="str">
            <v>TODOS</v>
          </cell>
          <cell r="G118" t="str">
            <v>ADOÇANTES</v>
          </cell>
          <cell r="H118" t="str">
            <v>STEVIA</v>
          </cell>
          <cell r="I118" t="str">
            <v>STEVIA LÍQUIDO</v>
          </cell>
          <cell r="J118" t="str">
            <v>INTERNO</v>
          </cell>
          <cell r="K118" t="str">
            <v>INTERNO</v>
          </cell>
          <cell r="L118" t="str">
            <v>ATIVO</v>
          </cell>
          <cell r="M118" t="str">
            <v>A</v>
          </cell>
          <cell r="N118" t="str">
            <v>TOTAL CLIENTES</v>
          </cell>
          <cell r="O118" t="str">
            <v>LINEA ADOCANTE LIQUIDO STEVIA 100% 60ML</v>
          </cell>
          <cell r="P118" t="str">
            <v xml:space="preserve">ADOÇANTE STÉVIA LÍQUIDO LINEA 12X60ML </v>
          </cell>
          <cell r="Q118">
            <v>12</v>
          </cell>
        </row>
        <row r="119">
          <cell r="B119">
            <v>430014793</v>
          </cell>
          <cell r="C119">
            <v>410026410</v>
          </cell>
          <cell r="D119" t="str">
            <v>LINEA ADOC STEVIA PO 12X50X0,5G</v>
          </cell>
          <cell r="E119" t="str">
            <v>UNIDADE</v>
          </cell>
          <cell r="F119" t="str">
            <v>TODOS</v>
          </cell>
          <cell r="G119" t="str">
            <v>ADOÇANTES</v>
          </cell>
          <cell r="H119" t="str">
            <v>STEVIA</v>
          </cell>
          <cell r="I119" t="str">
            <v>STEVIA PÓ</v>
          </cell>
          <cell r="J119" t="str">
            <v>INTERNO</v>
          </cell>
          <cell r="K119" t="str">
            <v>INTERNO</v>
          </cell>
          <cell r="L119" t="str">
            <v>ATIVO</v>
          </cell>
          <cell r="M119" t="str">
            <v>A</v>
          </cell>
          <cell r="N119"/>
          <cell r="O119" t="str">
            <v>LINEA ADOCANTE EM PO STEVIA 50 SACHES</v>
          </cell>
          <cell r="P119" t="str">
            <v>ADOÇANTE STÉVIA PÓ LINEA 12X50X0,5G</v>
          </cell>
          <cell r="Q119">
            <v>12</v>
          </cell>
        </row>
        <row r="120">
          <cell r="B120">
            <v>430026401</v>
          </cell>
          <cell r="C120">
            <v>410026401</v>
          </cell>
          <cell r="D120" t="str">
            <v>LINEA ADOC STEVIA PO L100P70 12X100X0,5G</v>
          </cell>
          <cell r="E120" t="str">
            <v>UNIDADE</v>
          </cell>
          <cell r="F120" t="str">
            <v>TODOS</v>
          </cell>
          <cell r="G120" t="str">
            <v>ADOÇANTES</v>
          </cell>
          <cell r="H120" t="str">
            <v>STEVIA</v>
          </cell>
          <cell r="I120" t="str">
            <v>STEVIA PÓ</v>
          </cell>
          <cell r="J120" t="str">
            <v>INTERNO</v>
          </cell>
          <cell r="K120" t="str">
            <v>INTERNO</v>
          </cell>
          <cell r="L120" t="str">
            <v>ATIVO</v>
          </cell>
          <cell r="M120" t="str">
            <v>B</v>
          </cell>
          <cell r="N120"/>
          <cell r="O120" t="str">
            <v>-</v>
          </cell>
          <cell r="P120" t="str">
            <v>LINEA STÉVIA LEVE 100 PAGUE 70 12X100X0,5G</v>
          </cell>
          <cell r="Q120">
            <v>12</v>
          </cell>
        </row>
        <row r="121">
          <cell r="B121">
            <v>430080004</v>
          </cell>
          <cell r="C121">
            <v>410080004</v>
          </cell>
          <cell r="D121" t="str">
            <v>LINEA ADOC SUCRAL CULIN 12X70G</v>
          </cell>
          <cell r="E121" t="str">
            <v>UNIDADE</v>
          </cell>
          <cell r="F121" t="str">
            <v>TODOS</v>
          </cell>
          <cell r="G121" t="str">
            <v>ADOÇANTES</v>
          </cell>
          <cell r="H121" t="str">
            <v>SUCRALOSE</v>
          </cell>
          <cell r="I121" t="str">
            <v>SUCRALOSE CULINÁRIO</v>
          </cell>
          <cell r="J121" t="str">
            <v>INTERNO</v>
          </cell>
          <cell r="K121" t="str">
            <v>INTERNO</v>
          </cell>
          <cell r="L121" t="str">
            <v>ATIVO</v>
          </cell>
          <cell r="M121" t="str">
            <v>B</v>
          </cell>
          <cell r="N121" t="str">
            <v>TOTAL CLIENTES</v>
          </cell>
          <cell r="O121" t="str">
            <v>LINEA ADOCANTE CULINARIO SUCRALOSE 70G</v>
          </cell>
          <cell r="P121" t="str">
            <v>ADOÇANTE CULINÁRIO FORNO E FOGÃO LINEA 12X70G</v>
          </cell>
          <cell r="Q121">
            <v>12</v>
          </cell>
        </row>
        <row r="122">
          <cell r="B122">
            <v>430080024</v>
          </cell>
          <cell r="C122">
            <v>410080024</v>
          </cell>
          <cell r="D122" t="str">
            <v>LINEA ADOC SUCRAL CULIN 4X400G</v>
          </cell>
          <cell r="E122" t="str">
            <v>UNIDADE</v>
          </cell>
          <cell r="F122" t="str">
            <v>TODOS</v>
          </cell>
          <cell r="G122" t="str">
            <v>ADOÇANTES</v>
          </cell>
          <cell r="H122" t="str">
            <v>SUCRALOSE</v>
          </cell>
          <cell r="I122" t="str">
            <v>SUCRALOSE CULINÁRIO</v>
          </cell>
          <cell r="J122" t="str">
            <v>INTERNO</v>
          </cell>
          <cell r="K122" t="str">
            <v>INTERNO</v>
          </cell>
          <cell r="L122" t="str">
            <v>ATIVO</v>
          </cell>
          <cell r="M122" t="str">
            <v>A</v>
          </cell>
          <cell r="N122" t="str">
            <v>TOTAL CLIENTES</v>
          </cell>
          <cell r="O122" t="str">
            <v>LINEA ADOCANTE CULINARIO SUCRALOSE 400G</v>
          </cell>
          <cell r="P122" t="str">
            <v>ADOÇANTE CULINÁRIO FORNO E FOGÃO LINEA 4X400G</v>
          </cell>
          <cell r="Q122">
            <v>4</v>
          </cell>
        </row>
        <row r="123">
          <cell r="B123">
            <v>430080086</v>
          </cell>
          <cell r="C123">
            <v>410080086</v>
          </cell>
          <cell r="D123" t="str">
            <v>LINEA ADOC SUCRAL CULIN 8X120G</v>
          </cell>
          <cell r="E123" t="str">
            <v>UNIDADE</v>
          </cell>
          <cell r="F123" t="str">
            <v>TODOS</v>
          </cell>
          <cell r="G123" t="str">
            <v>ADOÇANTES</v>
          </cell>
          <cell r="H123" t="str">
            <v>SUCRALOSE</v>
          </cell>
          <cell r="I123" t="str">
            <v>SUCRALOSE CULINÁRIO</v>
          </cell>
          <cell r="J123" t="str">
            <v>INTERNO</v>
          </cell>
          <cell r="K123" t="str">
            <v>INTERNO</v>
          </cell>
          <cell r="L123" t="str">
            <v>ATIVO</v>
          </cell>
          <cell r="M123" t="str">
            <v>B</v>
          </cell>
          <cell r="N123" t="str">
            <v>TOTAL CLIENTES</v>
          </cell>
          <cell r="O123" t="str">
            <v>LINEA ADOCANTE CULINARIO SUCRALOSE 120G</v>
          </cell>
          <cell r="P123" t="str">
            <v>ADOÇANTE CULINÁRIO FORNO E FOGÃO LINEA 8X120G</v>
          </cell>
          <cell r="Q123">
            <v>8</v>
          </cell>
        </row>
        <row r="124">
          <cell r="B124">
            <v>430020079</v>
          </cell>
          <cell r="C124">
            <v>410025614</v>
          </cell>
          <cell r="D124" t="str">
            <v>LINEA ADOC SUCRAL INSTIT 1000X0,5G</v>
          </cell>
          <cell r="E124" t="str">
            <v>UNIDADE</v>
          </cell>
          <cell r="F124" t="str">
            <v>TODOS</v>
          </cell>
          <cell r="G124" t="str">
            <v>ADOÇANTES</v>
          </cell>
          <cell r="H124" t="str">
            <v>SUCRALOSE</v>
          </cell>
          <cell r="I124" t="str">
            <v>SUCRALOSE INSTITUCIONAL</v>
          </cell>
          <cell r="J124" t="str">
            <v>INTERNO</v>
          </cell>
          <cell r="K124" t="str">
            <v>INTERNO</v>
          </cell>
          <cell r="L124" t="str">
            <v>ATIVO</v>
          </cell>
          <cell r="M124" t="str">
            <v>A</v>
          </cell>
          <cell r="N124"/>
          <cell r="O124" t="str">
            <v>-</v>
          </cell>
          <cell r="P124" t="str">
            <v>ADOÇANTE PÓ LINEA 1000X0,5G</v>
          </cell>
          <cell r="Q124">
            <v>1</v>
          </cell>
        </row>
        <row r="125">
          <cell r="B125">
            <v>430020080</v>
          </cell>
          <cell r="C125">
            <v>410025615</v>
          </cell>
          <cell r="D125" t="str">
            <v>LINEA ADOC SUCRAL INSTIT 500X0,5G</v>
          </cell>
          <cell r="E125" t="str">
            <v>UNIDADE</v>
          </cell>
          <cell r="F125" t="str">
            <v>TODOS</v>
          </cell>
          <cell r="G125" t="str">
            <v>ADOÇANTES</v>
          </cell>
          <cell r="H125" t="str">
            <v>SUCRALOSE</v>
          </cell>
          <cell r="I125" t="str">
            <v>SUCRALOSE INSTITUCIONAL</v>
          </cell>
          <cell r="J125" t="str">
            <v>INTERNO</v>
          </cell>
          <cell r="K125" t="str">
            <v>INTERNO</v>
          </cell>
          <cell r="L125" t="str">
            <v>ATIVO</v>
          </cell>
          <cell r="M125" t="str">
            <v>A</v>
          </cell>
          <cell r="N125"/>
          <cell r="O125" t="str">
            <v>LINEA ADOCANTE EM PO SUCRALOSE 500 SACHES</v>
          </cell>
          <cell r="P125" t="str">
            <v>ADOÇANTE PÓ LINEA 500X0,5G</v>
          </cell>
          <cell r="Q125">
            <v>1</v>
          </cell>
        </row>
        <row r="126">
          <cell r="B126">
            <v>430010020</v>
          </cell>
          <cell r="C126">
            <v>410010020</v>
          </cell>
          <cell r="D126" t="str">
            <v>LINEA ADOC SUCRAL LIQ 24X25ML</v>
          </cell>
          <cell r="E126" t="str">
            <v>UNIDADE</v>
          </cell>
          <cell r="F126" t="str">
            <v>TODOS</v>
          </cell>
          <cell r="G126" t="str">
            <v>ADOÇANTES</v>
          </cell>
          <cell r="H126" t="str">
            <v>SUCRALOSE</v>
          </cell>
          <cell r="I126" t="str">
            <v>SUCRALOSE LÍQUIDO</v>
          </cell>
          <cell r="J126" t="str">
            <v>INTERNO</v>
          </cell>
          <cell r="K126" t="str">
            <v>INTERNO</v>
          </cell>
          <cell r="L126" t="str">
            <v>ATIVO</v>
          </cell>
          <cell r="M126" t="str">
            <v>A</v>
          </cell>
          <cell r="N126" t="str">
            <v>TOTAL CLIENTES</v>
          </cell>
          <cell r="O126" t="str">
            <v>LINEA ADOCANTE LIQUIDO SUCRALOSE 25ML</v>
          </cell>
          <cell r="P126" t="str">
            <v>ADOÇANTE LÍQUIDO SUCRALOSE LINEA 24X25ML</v>
          </cell>
          <cell r="Q126">
            <v>24</v>
          </cell>
        </row>
        <row r="127">
          <cell r="B127">
            <v>430010021</v>
          </cell>
          <cell r="C127">
            <v>410010021</v>
          </cell>
          <cell r="D127" t="str">
            <v>LINEA ADOC SUCRAL LIQ 24X75ML</v>
          </cell>
          <cell r="E127" t="str">
            <v>UNIDADE</v>
          </cell>
          <cell r="F127" t="str">
            <v>TODOS</v>
          </cell>
          <cell r="G127" t="str">
            <v>ADOÇANTES</v>
          </cell>
          <cell r="H127" t="str">
            <v>SUCRALOSE</v>
          </cell>
          <cell r="I127" t="str">
            <v>SUCRALOSE LÍQUIDO</v>
          </cell>
          <cell r="J127" t="str">
            <v>INTERNO</v>
          </cell>
          <cell r="K127" t="str">
            <v>INTERNO</v>
          </cell>
          <cell r="L127" t="str">
            <v>ATIVO</v>
          </cell>
          <cell r="M127" t="str">
            <v>A</v>
          </cell>
          <cell r="N127" t="str">
            <v>TOTAL CLIENTES</v>
          </cell>
          <cell r="O127" t="str">
            <v>LINEA ADOCANTE LIQUIDO SUCRALOSE 75ML</v>
          </cell>
          <cell r="P127" t="str">
            <v>ADOÇANTE LÍQUIDO SUCRALOSE LINEA 24X75ML</v>
          </cell>
          <cell r="Q127">
            <v>24</v>
          </cell>
        </row>
        <row r="128">
          <cell r="B128">
            <v>430020037</v>
          </cell>
          <cell r="C128">
            <v>410025605</v>
          </cell>
          <cell r="D128" t="str">
            <v>LINEA ADOC SUCRAL PO 24X70X0,5G</v>
          </cell>
          <cell r="E128" t="str">
            <v>UNIDADE</v>
          </cell>
          <cell r="F128" t="str">
            <v>TODOS</v>
          </cell>
          <cell r="G128" t="str">
            <v>ADOÇANTES</v>
          </cell>
          <cell r="H128" t="str">
            <v>SUCRALOSE</v>
          </cell>
          <cell r="I128" t="str">
            <v>SUCRALOSE PÓ</v>
          </cell>
          <cell r="J128" t="str">
            <v>INTERNO</v>
          </cell>
          <cell r="K128" t="str">
            <v>INTERNO</v>
          </cell>
          <cell r="L128" t="str">
            <v>ATIVO</v>
          </cell>
          <cell r="M128" t="str">
            <v>A</v>
          </cell>
          <cell r="N128"/>
          <cell r="O128" t="str">
            <v>-</v>
          </cell>
          <cell r="P128" t="str">
            <v>ADOÇANTE PÓ LINEA 24X70X0,5G</v>
          </cell>
          <cell r="Q128">
            <v>24</v>
          </cell>
        </row>
        <row r="129">
          <cell r="B129">
            <v>430020057</v>
          </cell>
          <cell r="C129">
            <v>410025606</v>
          </cell>
          <cell r="D129" t="str">
            <v>LINEA ADOC SUCRAL PO 24X100X0,5G</v>
          </cell>
          <cell r="E129" t="str">
            <v>UNIDADE</v>
          </cell>
          <cell r="F129" t="str">
            <v>TODOS</v>
          </cell>
          <cell r="G129" t="str">
            <v>ADOÇANTES</v>
          </cell>
          <cell r="H129" t="str">
            <v>SUCRALOSE</v>
          </cell>
          <cell r="I129" t="str">
            <v>SUCRALOSE PÓ</v>
          </cell>
          <cell r="J129" t="str">
            <v>INTERNO</v>
          </cell>
          <cell r="K129" t="str">
            <v>INTERNO</v>
          </cell>
          <cell r="L129" t="str">
            <v>ATIVO</v>
          </cell>
          <cell r="M129" t="str">
            <v>B</v>
          </cell>
          <cell r="N129"/>
          <cell r="O129" t="str">
            <v>LINEA ADOCANTE EM PO SUCRALOSE 100 SACHES</v>
          </cell>
          <cell r="P129" t="str">
            <v>ADOÇANTE PÓ LINEA 24X100X0,5G</v>
          </cell>
          <cell r="Q129">
            <v>24</v>
          </cell>
        </row>
        <row r="130">
          <cell r="B130">
            <v>430025604</v>
          </cell>
          <cell r="C130">
            <v>410025604</v>
          </cell>
          <cell r="D130" t="str">
            <v>LINEA ADOC SUCRAL PO 24X50X0,5G</v>
          </cell>
          <cell r="E130" t="str">
            <v>UNIDADE</v>
          </cell>
          <cell r="F130" t="str">
            <v>TODOS</v>
          </cell>
          <cell r="G130" t="str">
            <v>ADOÇANTES</v>
          </cell>
          <cell r="H130" t="str">
            <v>SUCRALOSE</v>
          </cell>
          <cell r="I130" t="str">
            <v>SUCRALOSE PÓ</v>
          </cell>
          <cell r="J130" t="str">
            <v>INTERNO</v>
          </cell>
          <cell r="K130" t="str">
            <v>INTERNO</v>
          </cell>
          <cell r="L130" t="str">
            <v>ATIVO</v>
          </cell>
          <cell r="M130" t="str">
            <v>A</v>
          </cell>
          <cell r="N130"/>
          <cell r="O130" t="str">
            <v>LINEA ADOCANTE EM PO SUCRALOSE 50 SACHES</v>
          </cell>
          <cell r="P130" t="str">
            <v>ADOÇANTE PÓ LINEA 24X50X0,5G</v>
          </cell>
          <cell r="Q130">
            <v>24</v>
          </cell>
        </row>
        <row r="131">
          <cell r="B131">
            <v>430025625</v>
          </cell>
          <cell r="C131">
            <v>410025625</v>
          </cell>
          <cell r="D131" t="str">
            <v>LINEA ADOC SUCRAL PO L100P70 24X100X0,5G</v>
          </cell>
          <cell r="E131" t="str">
            <v>UNIDADE</v>
          </cell>
          <cell r="F131" t="str">
            <v>TODOS</v>
          </cell>
          <cell r="G131" t="str">
            <v>ADOÇANTES</v>
          </cell>
          <cell r="H131" t="str">
            <v>SUCRALOSE</v>
          </cell>
          <cell r="I131" t="str">
            <v>SUCRALOSE PÓ</v>
          </cell>
          <cell r="J131" t="str">
            <v>INTERNO</v>
          </cell>
          <cell r="K131" t="str">
            <v>INTERNO</v>
          </cell>
          <cell r="L131" t="str">
            <v>ATIVO</v>
          </cell>
          <cell r="M131" t="str">
            <v>C</v>
          </cell>
          <cell r="N131"/>
          <cell r="O131" t="str">
            <v>-</v>
          </cell>
          <cell r="P131" t="str">
            <v>LINEA SUCRALOSE LEVE 100 PAGUE 70 24X100X0,5G</v>
          </cell>
          <cell r="Q131">
            <v>24</v>
          </cell>
        </row>
        <row r="132">
          <cell r="B132">
            <v>430313481</v>
          </cell>
          <cell r="C132">
            <v>410313481</v>
          </cell>
          <cell r="D132" t="str">
            <v>LINEA CHOCO CULINARIO LEITE 8X250G</v>
          </cell>
          <cell r="E132" t="str">
            <v>UNIDADE</v>
          </cell>
          <cell r="F132" t="str">
            <v>TODOS</v>
          </cell>
          <cell r="G132" t="str">
            <v>ALIMENTOS</v>
          </cell>
          <cell r="H132" t="str">
            <v>CHOCOLATES</v>
          </cell>
          <cell r="I132" t="str">
            <v>TABLETE CULINÁRIO</v>
          </cell>
          <cell r="J132" t="str">
            <v>COPACKER</v>
          </cell>
          <cell r="K132" t="str">
            <v>ESPECIALLIS</v>
          </cell>
          <cell r="L132" t="str">
            <v>ATIVO</v>
          </cell>
          <cell r="M132" t="str">
            <v>B</v>
          </cell>
          <cell r="N132" t="str">
            <v>TOTAL CLIENTES</v>
          </cell>
          <cell r="O132" t="str">
            <v>LINEA CHOCOLATE CULINARIO AO LEITE 250G</v>
          </cell>
          <cell r="P132" t="str">
            <v>CHOCOLATE CULINÁRIO AO LEITE LINEA 8X250G</v>
          </cell>
          <cell r="Q132">
            <v>8</v>
          </cell>
        </row>
        <row r="133">
          <cell r="B133">
            <v>430313581</v>
          </cell>
          <cell r="C133">
            <v>410313581</v>
          </cell>
          <cell r="D133" t="str">
            <v>LINEA CHOCO CULINARIO DARK 8X250G</v>
          </cell>
          <cell r="E133" t="str">
            <v>UNIDADE</v>
          </cell>
          <cell r="F133" t="str">
            <v>TODOS</v>
          </cell>
          <cell r="G133" t="str">
            <v>ALIMENTOS</v>
          </cell>
          <cell r="H133" t="str">
            <v>CHOCOLATES</v>
          </cell>
          <cell r="I133" t="str">
            <v>TABLETE CULINÁRIO</v>
          </cell>
          <cell r="J133" t="str">
            <v>COPACKER</v>
          </cell>
          <cell r="K133" t="str">
            <v>ESPECIALLIS</v>
          </cell>
          <cell r="L133" t="str">
            <v>ATIVO</v>
          </cell>
          <cell r="M133" t="str">
            <v>B</v>
          </cell>
          <cell r="N133" t="str">
            <v>TOTAL CLIENTES</v>
          </cell>
          <cell r="O133" t="str">
            <v>LINEA CHOCOLATE CULINARIO DARK 250G</v>
          </cell>
          <cell r="P133" t="str">
            <v xml:space="preserve">CHOCOLATE CULINÁRIO DARK LINEA 8X250G </v>
          </cell>
          <cell r="Q133">
            <v>8</v>
          </cell>
        </row>
        <row r="134">
          <cell r="B134">
            <v>430313681</v>
          </cell>
          <cell r="C134">
            <v>410313681</v>
          </cell>
          <cell r="D134" t="str">
            <v>LINEA CHOCO CULINARIO BRANCO 8X250G</v>
          </cell>
          <cell r="E134" t="str">
            <v>UNIDADE</v>
          </cell>
          <cell r="F134" t="str">
            <v>TODOS</v>
          </cell>
          <cell r="G134" t="str">
            <v>ALIMENTOS</v>
          </cell>
          <cell r="H134" t="str">
            <v>CHOCOLATES</v>
          </cell>
          <cell r="I134" t="str">
            <v>TABLETE CULINÁRIO</v>
          </cell>
          <cell r="J134" t="str">
            <v>COPACKER</v>
          </cell>
          <cell r="K134" t="str">
            <v>ESPECIALLIS</v>
          </cell>
          <cell r="L134" t="str">
            <v>ATIVO</v>
          </cell>
          <cell r="M134" t="str">
            <v>C</v>
          </cell>
          <cell r="N134" t="str">
            <v>TOTAL CLIENTES</v>
          </cell>
          <cell r="O134" t="str">
            <v>LINEA CHOCOLATE CULINARIO BRANCO 250G</v>
          </cell>
          <cell r="P134" t="str">
            <v>CHOCOLATE CULINÁRIO BRANCO 8X250G</v>
          </cell>
          <cell r="Q134">
            <v>8</v>
          </cell>
        </row>
        <row r="135">
          <cell r="B135">
            <v>430121108</v>
          </cell>
          <cell r="C135">
            <v>410121107</v>
          </cell>
          <cell r="D135" t="str">
            <v>LINEA WAFER MERENGUE DE MORANGO 16X90G</v>
          </cell>
          <cell r="E135" t="str">
            <v>UNIDADE</v>
          </cell>
          <cell r="F135" t="str">
            <v>TODOS</v>
          </cell>
          <cell r="G135" t="str">
            <v>ALIMENTOS</v>
          </cell>
          <cell r="H135" t="str">
            <v>BISCOITOS</v>
          </cell>
          <cell r="I135" t="str">
            <v>WAFER</v>
          </cell>
          <cell r="J135" t="str">
            <v>COPACKER</v>
          </cell>
          <cell r="K135" t="str">
            <v>MARINDOCES</v>
          </cell>
          <cell r="L135" t="str">
            <v>ATIVO</v>
          </cell>
          <cell r="M135" t="str">
            <v>LANÇAMENTO</v>
          </cell>
          <cell r="N135"/>
          <cell r="O135" t="str">
            <v>LINEA WAFER MERENGUE DE MORANGO 90G</v>
          </cell>
          <cell r="P135" t="str">
            <v>WAFER SABOR MERENGUE DE MORANGO 16X90G</v>
          </cell>
          <cell r="Q135">
            <v>16</v>
          </cell>
        </row>
        <row r="136">
          <cell r="B136">
            <v>430121208</v>
          </cell>
          <cell r="C136">
            <v>410121207</v>
          </cell>
          <cell r="D136" t="str">
            <v>LINEA WAFER CHOCOLATE 16X90G</v>
          </cell>
          <cell r="E136" t="str">
            <v>UNIDADE</v>
          </cell>
          <cell r="F136" t="str">
            <v>TODOS</v>
          </cell>
          <cell r="G136" t="str">
            <v>ALIMENTOS</v>
          </cell>
          <cell r="H136" t="str">
            <v>BISCOITOS</v>
          </cell>
          <cell r="I136" t="str">
            <v>WAFER</v>
          </cell>
          <cell r="J136" t="str">
            <v>COPACKER</v>
          </cell>
          <cell r="K136" t="str">
            <v>MARINDOCES</v>
          </cell>
          <cell r="L136" t="str">
            <v>ATIVO</v>
          </cell>
          <cell r="M136" t="str">
            <v>LANÇAMENTO</v>
          </cell>
          <cell r="N136"/>
          <cell r="O136" t="str">
            <v>LINEA WAFER CHOCOLATE 90G</v>
          </cell>
          <cell r="P136" t="str">
            <v>WAFER SABOR CHOCOLATE 16X90G</v>
          </cell>
          <cell r="Q136">
            <v>16</v>
          </cell>
        </row>
        <row r="137">
          <cell r="B137">
            <v>430121308</v>
          </cell>
          <cell r="C137">
            <v>410121307</v>
          </cell>
          <cell r="D137" t="str">
            <v>LINEA WAFER CHURROS 16X90G</v>
          </cell>
          <cell r="E137" t="str">
            <v>UNIDADE</v>
          </cell>
          <cell r="F137" t="str">
            <v>TODOS</v>
          </cell>
          <cell r="G137" t="str">
            <v>ALIMENTOS</v>
          </cell>
          <cell r="H137" t="str">
            <v>BISCOITOS</v>
          </cell>
          <cell r="I137" t="str">
            <v>WAFER</v>
          </cell>
          <cell r="J137" t="str">
            <v>COPACKER</v>
          </cell>
          <cell r="K137" t="str">
            <v>MARINDOCES</v>
          </cell>
          <cell r="L137" t="str">
            <v>ATIVO</v>
          </cell>
          <cell r="M137" t="str">
            <v>LANÇAMENTO</v>
          </cell>
          <cell r="N137"/>
          <cell r="O137" t="str">
            <v>LINEA WAFER CHURROS 90G</v>
          </cell>
          <cell r="P137" t="str">
            <v>WAFER SABOR CHURROS 16X90G</v>
          </cell>
          <cell r="Q137">
            <v>16</v>
          </cell>
        </row>
        <row r="138">
          <cell r="B138">
            <v>430120514</v>
          </cell>
          <cell r="C138">
            <v>410120509</v>
          </cell>
          <cell r="D138" t="str">
            <v>LINEA HUMMM WAFER PROT COOKIES 2X12X25G</v>
          </cell>
          <cell r="E138" t="str">
            <v>UNIDADE</v>
          </cell>
          <cell r="F138" t="str">
            <v>TODOS</v>
          </cell>
          <cell r="G138" t="str">
            <v>ALIMENTOS</v>
          </cell>
          <cell r="H138" t="str">
            <v>WAFER PROTEICO</v>
          </cell>
          <cell r="I138" t="str">
            <v>WAFER 25g</v>
          </cell>
          <cell r="J138" t="str">
            <v>COPACKER</v>
          </cell>
          <cell r="K138" t="str">
            <v>DUMDUM</v>
          </cell>
          <cell r="L138" t="str">
            <v>ATIVO</v>
          </cell>
          <cell r="M138" t="str">
            <v>LANÇAMENTO</v>
          </cell>
          <cell r="N138"/>
          <cell r="O138" t="str">
            <v>HUMMM WAFER PROTEICO COOKIES N' CREAM 25G</v>
          </cell>
          <cell r="P138" t="str">
            <v>HUMMM WAFER PROTEICO COOKIES N' CREAM 2x12x25G</v>
          </cell>
          <cell r="Q138">
            <v>24</v>
          </cell>
        </row>
        <row r="139">
          <cell r="B139">
            <v>430121514</v>
          </cell>
          <cell r="C139">
            <v>410121509</v>
          </cell>
          <cell r="D139" t="str">
            <v>LINEA HUMMM WAFER PROT CHOCOLATE 2X12X25G</v>
          </cell>
          <cell r="E139" t="str">
            <v>UNIDADE</v>
          </cell>
          <cell r="F139" t="str">
            <v>TODOS</v>
          </cell>
          <cell r="G139" t="str">
            <v>ALIMENTOS</v>
          </cell>
          <cell r="H139" t="str">
            <v>WAFER PROTEICO</v>
          </cell>
          <cell r="I139" t="str">
            <v>WAFER 25g</v>
          </cell>
          <cell r="J139" t="str">
            <v>COPACKER</v>
          </cell>
          <cell r="K139" t="str">
            <v>DUMDUM</v>
          </cell>
          <cell r="L139" t="str">
            <v>ATIVO</v>
          </cell>
          <cell r="M139" t="str">
            <v>LANÇAMENTO</v>
          </cell>
          <cell r="N139"/>
          <cell r="O139" t="str">
            <v>HUMMM WAFER PROTEICO CHOCOLATE 25G</v>
          </cell>
          <cell r="P139" t="str">
            <v>HUMMM WAFER PROTEICO CHOCOLATE 2x12x25G</v>
          </cell>
          <cell r="Q139">
            <v>24</v>
          </cell>
        </row>
        <row r="140">
          <cell r="B140">
            <v>430140034</v>
          </cell>
          <cell r="C140">
            <v>410140034</v>
          </cell>
          <cell r="D140" t="str">
            <v>LINEA WHEY PROT CONCENTRADO NEUTRO 8X450g</v>
          </cell>
          <cell r="E140" t="str">
            <v>UNIDADE</v>
          </cell>
          <cell r="F140" t="str">
            <v>TODOS</v>
          </cell>
          <cell r="G140" t="str">
            <v>SUPLEMENTOS</v>
          </cell>
          <cell r="H140" t="str">
            <v>WHEY PROTEIN</v>
          </cell>
          <cell r="I140" t="str">
            <v>WHEY PROTEIN CONCENTRADO</v>
          </cell>
          <cell r="J140" t="str">
            <v>INTERNO</v>
          </cell>
          <cell r="K140" t="str">
            <v>INTERNO</v>
          </cell>
          <cell r="L140" t="str">
            <v>ATIVO</v>
          </cell>
          <cell r="M140" t="str">
            <v>LANÇAMENTO</v>
          </cell>
          <cell r="N140"/>
          <cell r="O140" t="str">
            <v>LINEA WHEY PROTEIN CONCENTRADO SABOR NEUTRO LATA 450g</v>
          </cell>
          <cell r="P140" t="str">
            <v>WHEY PROTEIN CONCENTRADO SABOR NEUTRO LATA 450g</v>
          </cell>
          <cell r="Q140">
            <v>8</v>
          </cell>
        </row>
        <row r="141">
          <cell r="B141">
            <v>430140633</v>
          </cell>
          <cell r="C141">
            <v>410140633</v>
          </cell>
          <cell r="D141" t="str">
            <v>LINEA WHEY PROT ISO/HID CAPPUC SACH 4X15X30g</v>
          </cell>
          <cell r="E141" t="str">
            <v>UNIDADE</v>
          </cell>
          <cell r="F141" t="str">
            <v>TODOS</v>
          </cell>
          <cell r="G141" t="str">
            <v>SUPLEMENTOS</v>
          </cell>
          <cell r="H141" t="str">
            <v>WHEY PROTEIN</v>
          </cell>
          <cell r="I141" t="str">
            <v>WHEY PROTEIN ISOLADO E HIDROLISADO</v>
          </cell>
          <cell r="J141" t="str">
            <v>COPACKER</v>
          </cell>
          <cell r="K141" t="str">
            <v>WBM</v>
          </cell>
          <cell r="L141" t="str">
            <v>ATIVO</v>
          </cell>
          <cell r="M141" t="str">
            <v>LANÇAMENTO</v>
          </cell>
          <cell r="N141"/>
          <cell r="O141" t="str">
            <v>LINEA WHEY PROTEIN ISOLADO E HIDROLISADO SABOR CAPPUCCINO SACHÊ 30g</v>
          </cell>
          <cell r="P141" t="str">
            <v>WHEY PROTEIN ISOLADO E HIDROLISADO SABOR CAPPUCCINO SACHÊ 30g</v>
          </cell>
          <cell r="Q141">
            <v>60</v>
          </cell>
        </row>
        <row r="142">
          <cell r="B142">
            <v>430015592</v>
          </cell>
          <cell r="C142">
            <v>410015592</v>
          </cell>
          <cell r="D142" t="str">
            <v>LINEA ADOC XILITOL LIQ 12X60ML</v>
          </cell>
          <cell r="E142" t="str">
            <v>UNIDADE</v>
          </cell>
          <cell r="F142" t="str">
            <v>TODOS</v>
          </cell>
          <cell r="G142" t="str">
            <v>ADOÇANTES</v>
          </cell>
          <cell r="H142" t="str">
            <v>XILITOL</v>
          </cell>
          <cell r="I142" t="str">
            <v>XILITOL LÍQUIDO</v>
          </cell>
          <cell r="J142" t="str">
            <v>INTERNO</v>
          </cell>
          <cell r="K142" t="str">
            <v>INTERNO</v>
          </cell>
          <cell r="L142" t="str">
            <v>ATIVO</v>
          </cell>
          <cell r="M142" t="str">
            <v>A</v>
          </cell>
          <cell r="N142" t="str">
            <v>TOTAL CLIENTES</v>
          </cell>
          <cell r="O142" t="str">
            <v>LINEA ADOCANTE XILITOL LÍQUIDO 60ML</v>
          </cell>
          <cell r="P142" t="str">
            <v>LINEA ADOCANTE XILITOL E SUCRALOSE LIQUIDO 12X60ML</v>
          </cell>
          <cell r="Q142">
            <v>12</v>
          </cell>
        </row>
        <row r="143">
          <cell r="B143">
            <v>430026208</v>
          </cell>
          <cell r="C143">
            <v>410026208</v>
          </cell>
          <cell r="D143" t="str">
            <v>LINEA ADOC XILITOL PO 6X40X5G</v>
          </cell>
          <cell r="E143" t="str">
            <v>UNIDADE</v>
          </cell>
          <cell r="F143" t="str">
            <v>TODOS</v>
          </cell>
          <cell r="G143" t="str">
            <v>ADOÇANTES</v>
          </cell>
          <cell r="H143" t="str">
            <v>XILITOL</v>
          </cell>
          <cell r="I143" t="str">
            <v>XILITOL PÓ</v>
          </cell>
          <cell r="J143" t="str">
            <v>INTERNO</v>
          </cell>
          <cell r="K143" t="str">
            <v>INTERNO</v>
          </cell>
          <cell r="L143" t="str">
            <v>ATIVO</v>
          </cell>
          <cell r="M143" t="str">
            <v>B</v>
          </cell>
          <cell r="N143" t="str">
            <v>TOTAL CLIENTES</v>
          </cell>
          <cell r="O143" t="str">
            <v>LINEA ADOCANTE EM PO XILITOL 100% NATURAL 6X40X5G</v>
          </cell>
          <cell r="P143" t="str">
            <v>LINEA ADOCANTE EM PO XILITOL 100% NATURAL 6X40X5G (BOATOPACK)</v>
          </cell>
          <cell r="Q143">
            <v>6</v>
          </cell>
        </row>
        <row r="144">
          <cell r="B144">
            <v>430080295</v>
          </cell>
          <cell r="C144">
            <v>410080295</v>
          </cell>
          <cell r="D144" t="str">
            <v>LINEA ADOC XILITOL PO 6X250G</v>
          </cell>
          <cell r="E144" t="str">
            <v>UNIDADE</v>
          </cell>
          <cell r="F144" t="str">
            <v>TODOS</v>
          </cell>
          <cell r="G144" t="str">
            <v>ADOÇANTES</v>
          </cell>
          <cell r="H144" t="str">
            <v>XILITOL</v>
          </cell>
          <cell r="I144" t="str">
            <v>XILITOL PÓ</v>
          </cell>
          <cell r="J144" t="str">
            <v>INTERNO</v>
          </cell>
          <cell r="K144" t="str">
            <v>INTERNO</v>
          </cell>
          <cell r="L144" t="str">
            <v>ATIVO</v>
          </cell>
          <cell r="M144" t="str">
            <v>A</v>
          </cell>
          <cell r="N144" t="str">
            <v>TOTAL CLIENTES</v>
          </cell>
          <cell r="O144" t="str">
            <v>LINEA ADOCANTE EM PO XILITOL 250G</v>
          </cell>
          <cell r="P144" t="str">
            <v xml:space="preserve">ADOÇANTE XILITOL 6X250G       </v>
          </cell>
          <cell r="Q144">
            <v>6</v>
          </cell>
        </row>
        <row r="145">
          <cell r="B145">
            <v>438026411</v>
          </cell>
          <cell r="C145">
            <v>410015729</v>
          </cell>
          <cell r="D145" t="str">
            <v>LINEA ADOC SACARINA LIQ 12X100ml</v>
          </cell>
          <cell r="E145" t="str">
            <v>UNIDADE</v>
          </cell>
          <cell r="F145" t="str">
            <v>TODOS</v>
          </cell>
          <cell r="G145" t="str">
            <v>ADOÇANTES</v>
          </cell>
          <cell r="H145" t="str">
            <v>SACARINA</v>
          </cell>
          <cell r="I145" t="str">
            <v>SACARINA LIQUIDO</v>
          </cell>
          <cell r="J145" t="str">
            <v>INTERNO</v>
          </cell>
          <cell r="K145" t="str">
            <v>INTERNO</v>
          </cell>
          <cell r="L145" t="str">
            <v>ATIVO</v>
          </cell>
          <cell r="M145" t="str">
            <v>LANÇAMENTO</v>
          </cell>
          <cell r="N145"/>
          <cell r="O145" t="str">
            <v>LINEA ADOCANTE LIQUIDO SACARINA 100ml</v>
          </cell>
          <cell r="P145" t="str">
            <v>ADOÇANTE LÍQUIDO SACARINA LINEA 12X100ml</v>
          </cell>
          <cell r="Q145">
            <v>12</v>
          </cell>
        </row>
        <row r="146">
          <cell r="B146">
            <v>438025604</v>
          </cell>
          <cell r="C146">
            <v>418025604</v>
          </cell>
          <cell r="D146" t="str">
            <v>LINEA ADOC SUCRAL PO COPA 24X50X0,5g</v>
          </cell>
          <cell r="E146" t="str">
            <v>UNIDADE</v>
          </cell>
          <cell r="F146" t="str">
            <v>TODOS</v>
          </cell>
          <cell r="G146" t="str">
            <v>ADOÇANTES</v>
          </cell>
          <cell r="H146" t="str">
            <v>SUCRALOSE</v>
          </cell>
          <cell r="I146" t="str">
            <v>SUCRALOSE PÓ</v>
          </cell>
          <cell r="J146" t="str">
            <v>INTERNO</v>
          </cell>
          <cell r="K146" t="str">
            <v>INTERNO</v>
          </cell>
          <cell r="L146" t="str">
            <v>ATIVO</v>
          </cell>
          <cell r="M146" t="str">
            <v>LANÇAMENTO</v>
          </cell>
          <cell r="N146"/>
          <cell r="O146" t="str">
            <v>-</v>
          </cell>
          <cell r="P146" t="str">
            <v>ADOÇANTE PÓ LINEA COPA 24X50X0,5g</v>
          </cell>
          <cell r="Q146">
            <v>24</v>
          </cell>
        </row>
        <row r="147">
          <cell r="B147">
            <v>438025614</v>
          </cell>
          <cell r="C147">
            <v>418025614</v>
          </cell>
          <cell r="D147" t="str">
            <v>LINEA ADOC SUCRAL INSTIT COPA 1000X0,5g</v>
          </cell>
          <cell r="E147" t="str">
            <v>UNIDADE</v>
          </cell>
          <cell r="F147" t="str">
            <v>TODOS</v>
          </cell>
          <cell r="G147" t="str">
            <v>ADOÇANTES</v>
          </cell>
          <cell r="H147" t="str">
            <v>SUCRALOSE</v>
          </cell>
          <cell r="I147" t="str">
            <v>SUCRALOSE INSTITUCIONAL</v>
          </cell>
          <cell r="J147" t="str">
            <v>INTERNO</v>
          </cell>
          <cell r="K147" t="str">
            <v>INTERNO</v>
          </cell>
          <cell r="L147" t="str">
            <v>ATIVO</v>
          </cell>
          <cell r="M147" t="str">
            <v>LANÇAMENTO</v>
          </cell>
          <cell r="N147"/>
          <cell r="O147" t="str">
            <v>LINEA ADOCANTE EM PO SUCRALOSE COPA 50 SACHES</v>
          </cell>
          <cell r="P147" t="str">
            <v>ADOÇANTE PÓ LINEA COPA 1000X0,5g</v>
          </cell>
          <cell r="Q147">
            <v>1</v>
          </cell>
        </row>
        <row r="148">
          <cell r="B148">
            <v>438010021</v>
          </cell>
          <cell r="C148">
            <v>418010021</v>
          </cell>
          <cell r="D148" t="str">
            <v>LINEA ADOC SUCRAL LIQ COPA 24X75ml</v>
          </cell>
          <cell r="E148" t="str">
            <v>UNIDADE</v>
          </cell>
          <cell r="F148" t="str">
            <v>TODOS</v>
          </cell>
          <cell r="G148" t="str">
            <v>ADOÇANTES</v>
          </cell>
          <cell r="H148" t="str">
            <v>SUCRALOSE</v>
          </cell>
          <cell r="I148" t="str">
            <v>SUCRALOSE LÍQUIDO</v>
          </cell>
          <cell r="J148" t="str">
            <v>INTERNO</v>
          </cell>
          <cell r="K148" t="str">
            <v>INTERNO</v>
          </cell>
          <cell r="L148" t="str">
            <v>ATIVO</v>
          </cell>
          <cell r="M148" t="str">
            <v>LANÇAMENTO</v>
          </cell>
          <cell r="N148"/>
          <cell r="O148" t="str">
            <v>LINEA ADOCANTE LIQUIDO SUCRALOSE COPA 75ml</v>
          </cell>
          <cell r="P148" t="str">
            <v>ADOÇANTE LÍQUIDO SUCRALOSE LINEA COPA 24X75ml</v>
          </cell>
          <cell r="Q148">
            <v>24</v>
          </cell>
        </row>
        <row r="149">
          <cell r="B149">
            <v>438014792</v>
          </cell>
          <cell r="C149">
            <v>418014792</v>
          </cell>
          <cell r="D149" t="str">
            <v>LINEA ADOC STEVIA LIQ COPA 12X60ml</v>
          </cell>
          <cell r="E149" t="str">
            <v>UNIDADE</v>
          </cell>
          <cell r="F149" t="str">
            <v>TODOS</v>
          </cell>
          <cell r="G149" t="str">
            <v>ADOÇANTES</v>
          </cell>
          <cell r="H149" t="str">
            <v>STEVIA</v>
          </cell>
          <cell r="I149" t="str">
            <v>STEVIA LÍQUIDO</v>
          </cell>
          <cell r="J149" t="str">
            <v xml:space="preserve">INTERNO </v>
          </cell>
          <cell r="K149" t="str">
            <v>INTERNO</v>
          </cell>
          <cell r="L149" t="str">
            <v>ATIVO</v>
          </cell>
          <cell r="M149" t="str">
            <v>LANÇAMENTO</v>
          </cell>
          <cell r="N149"/>
          <cell r="O149" t="str">
            <v>LINEA ADOCANTE LIQUIDO STEVIA 100% COPA 60ml</v>
          </cell>
          <cell r="P149" t="str">
            <v>ADOÇANTE STÉVIA LÍQUIDO LINEA COPA 12X60ml</v>
          </cell>
          <cell r="Q149">
            <v>12</v>
          </cell>
        </row>
        <row r="150">
          <cell r="B150">
            <v>438026410</v>
          </cell>
          <cell r="C150">
            <v>418026410</v>
          </cell>
          <cell r="D150" t="str">
            <v>LINEA ADOC STEVIA PO COPA 12X50X0,5g</v>
          </cell>
          <cell r="E150" t="str">
            <v>UNIDADE</v>
          </cell>
          <cell r="F150" t="str">
            <v>TODOS</v>
          </cell>
          <cell r="G150" t="str">
            <v>ADOÇANTES</v>
          </cell>
          <cell r="H150" t="str">
            <v>STEVIA</v>
          </cell>
          <cell r="I150" t="str">
            <v>SUCRALOSE PÓ</v>
          </cell>
          <cell r="J150" t="str">
            <v xml:space="preserve">INTERNO </v>
          </cell>
          <cell r="K150" t="str">
            <v>INTERNO</v>
          </cell>
          <cell r="L150" t="str">
            <v>ATIVO</v>
          </cell>
          <cell r="M150" t="str">
            <v>LANÇAMENTO</v>
          </cell>
          <cell r="N150"/>
          <cell r="O150" t="str">
            <v>LINEA ADOCANTE EM PO STEVIA COPA 50 SACHES</v>
          </cell>
          <cell r="P150" t="str">
            <v>ADOÇANTE STÉVIA PÓ LINEA COPA 12X50X0,5g</v>
          </cell>
          <cell r="Q150">
            <v>12</v>
          </cell>
        </row>
      </sheetData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5" xr16:uid="{F0733EBE-B948-442D-9343-2A72123B8BD1}" autoFormatId="16" applyNumberFormats="0" applyBorderFormats="0" applyFontFormats="0" applyPatternFormats="0" applyAlignmentFormats="0" applyWidthHeightFormats="0">
  <queryTableRefresh nextId="12">
    <queryTableFields count="9">
      <queryTableField id="1" name="PRODUTO" tableColumnId="1"/>
      <queryTableField id="2" name="BU" tableColumnId="2"/>
      <queryTableField id="3" name="CATEGORIA" tableColumnId="3"/>
      <queryTableField id="4" name="SEGMENTO" tableColumnId="4"/>
      <queryTableField id="10" name="2026" tableColumnId="9"/>
      <queryTableField id="6" name="2025" tableColumnId="5"/>
      <queryTableField id="7" name="2024" tableColumnId="6"/>
      <queryTableField id="8" name="2023" tableColumnId="7"/>
      <queryTableField id="9" name="2022" tableColumnId="8"/>
    </queryTableFields>
  </queryTableRefresh>
  <extLst>
    <ext xmlns:x15="http://schemas.microsoft.com/office/spreadsheetml/2010/11/main" uri="{883FBD77-0823-4a55-B5E3-86C4891E6966}">
      <x15:queryTable sourceDataName="Consulta - Segmento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6" xr16:uid="{F0D50B0C-A743-42D2-BBFD-78D42C05A418}" autoFormatId="16" applyNumberFormats="0" applyBorderFormats="0" applyFontFormats="0" applyPatternFormats="0" applyAlignmentFormats="0" applyWidthHeightFormats="0">
  <queryTableRefresh nextId="42">
    <queryTableFields count="5">
      <queryTableField id="22" name="PRODUTO" tableColumnId="22"/>
      <queryTableField id="38" name="Descrição" tableColumnId="38"/>
      <queryTableField id="39" name="QT Pedido" tableColumnId="39"/>
      <queryTableField id="40" name="VL Pedido" tableColumnId="40"/>
      <queryTableField id="41" name="PMV" tableColumnId="41"/>
    </queryTableFields>
  </queryTableRefresh>
  <extLst>
    <ext xmlns:x15="http://schemas.microsoft.com/office/spreadsheetml/2010/11/main" uri="{883FBD77-0823-4a55-B5E3-86C4891E6966}">
      <x15:queryTable sourceDataName="Consulta - Pendencia Func"/>
    </ext>
  </extLst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B0535-5846-4E9E-AEE8-4013E64FFE6A}" name="Tabela1" displayName="Tabela1" ref="A1:AV227" totalsRowShown="0" headerRowDxfId="147" dataDxfId="145" totalsRowDxfId="143" headerRowBorderDxfId="146" tableBorderDxfId="144">
  <autoFilter ref="A1:AV227" xr:uid="{04FB0535-5846-4E9E-AEE8-4013E64FFE6A}"/>
  <tableColumns count="48">
    <tableColumn id="1" xr3:uid="{3A8182EF-B60D-4B81-8CA7-F7A02489032A}" name="Código" dataDxfId="142" totalsRowDxfId="141" dataCellStyle="Normal_Plan1"/>
    <tableColumn id="2" xr3:uid="{F5C03E0C-DF35-45CE-825F-5542B9DE3327}" name="Descrição do Produto" dataDxfId="140" totalsRowDxfId="139" dataCellStyle="Normal_Plan1"/>
    <tableColumn id="16" xr3:uid="{EB6F6C1E-5BA1-405B-8B1B-D2D9CE352AD0}" name="BU" dataDxfId="138" totalsRowDxfId="137" dataCellStyle="Normal_Plan1">
      <calculatedColumnFormula>IFERROR(VLOOKUP(Tabela1[[#This Row],[Código]],Cadastro!$A:$J,2,0),"Sem Cadastro")</calculatedColumnFormula>
    </tableColumn>
    <tableColumn id="29" xr3:uid="{8C2E6155-4CFE-4C4F-974C-5D907D681547}" name="Categoria" dataDxfId="136" totalsRowDxfId="135" dataCellStyle="Normal_Plan1">
      <calculatedColumnFormula>IFERROR(VLOOKUP(Tabela1[[#This Row],[Código]],Cadastro!$A:$J,3,0),"Sem Cadastro")</calculatedColumnFormula>
    </tableColumn>
    <tableColumn id="30" xr3:uid="{AB95C256-9430-4A62-905E-C725533999D3}" name="Segmento" dataDxfId="134" totalsRowDxfId="133" dataCellStyle="Normal_Plan1">
      <calculatedColumnFormula>IFERROR(VLOOKUP(Tabela1[[#This Row],[Código]],Cadastro!$A:$J,4,0),"Sem Cadastro")</calculatedColumnFormula>
    </tableColumn>
    <tableColumn id="31" xr3:uid="{D686F730-E030-4A55-9EC2-0BFD2C765586}" name="ABC" dataDxfId="132" totalsRowDxfId="131" dataCellStyle="Normal_Plan1">
      <calculatedColumnFormula>IFERROR(VLOOKUP(Tabela1[[#This Row],[Código]],Cadastro!$A:$J,5,0),"Sem Cadastro")</calculatedColumnFormula>
    </tableColumn>
    <tableColumn id="3" xr3:uid="{70CCB48E-A493-4FC1-B902-E4C0781F84C7}" name="Grupo Produto" dataDxfId="130" totalsRowDxfId="129"/>
    <tableColumn id="43" xr3:uid="{9F3043AC-0AF7-4AB4-8430-5FB81CCE868E}" name="jan/23" dataDxfId="128" totalsRowDxfId="127" dataCellStyle="Vírgula"/>
    <tableColumn id="42" xr3:uid="{AB8EBDEB-1127-4A1F-9E00-42BF049543C2}" name="fev/23" dataDxfId="126" totalsRowDxfId="125" dataCellStyle="Vírgula"/>
    <tableColumn id="41" xr3:uid="{F7CCB17B-2E3E-4963-AE7D-6E0763821387}" name="mar/23" dataDxfId="124" totalsRowDxfId="123" dataCellStyle="Vírgula"/>
    <tableColumn id="40" xr3:uid="{67BB1D5B-46F8-42BE-8797-47349C251E82}" name="abr/23" dataDxfId="122" totalsRowDxfId="121" dataCellStyle="Vírgula"/>
    <tableColumn id="39" xr3:uid="{31944012-C166-485C-9C19-E96EBEC3E1E5}" name="mai/23" dataDxfId="120" totalsRowDxfId="119" dataCellStyle="Vírgula"/>
    <tableColumn id="38" xr3:uid="{0B96033A-5666-40BF-97F5-92EFEE24E99A}" name="jun/23" dataDxfId="118" totalsRowDxfId="117" dataCellStyle="Vírgula"/>
    <tableColumn id="37" xr3:uid="{0E455D5A-960C-4A5C-89D4-B51151EFD68D}" name="jul/23" dataDxfId="116" totalsRowDxfId="115" dataCellStyle="Vírgula"/>
    <tableColumn id="36" xr3:uid="{F79557CC-4945-48A5-B4DF-CAAA5BBE6C3C}" name="ago/23" dataDxfId="114" totalsRowDxfId="113" dataCellStyle="Vírgula"/>
    <tableColumn id="35" xr3:uid="{28C0BCB0-15A5-4BC1-A7FD-97EB10BCDCAC}" name="set/23" dataDxfId="112" totalsRowDxfId="111" dataCellStyle="Vírgula"/>
    <tableColumn id="34" xr3:uid="{7CDF17BC-AE19-46F9-A367-2E281219F353}" name="out/23" dataDxfId="110" totalsRowDxfId="109" dataCellStyle="Vírgula"/>
    <tableColumn id="33" xr3:uid="{3D39DFED-F044-4D77-BC23-B0F297AF4AFB}" name="nov/23" dataDxfId="108" totalsRowDxfId="107" dataCellStyle="Vírgula"/>
    <tableColumn id="32" xr3:uid="{589FC2A9-F139-4E66-A5FA-28BB78FE7391}" name="dez/23" dataDxfId="106" totalsRowDxfId="105" dataCellStyle="Vírgula"/>
    <tableColumn id="17" xr3:uid="{75803BAE-B927-4B3E-8794-BEEED7F85404}" name="jan/24" dataDxfId="104" totalsRowDxfId="103" dataCellStyle="Vírgula"/>
    <tableColumn id="18" xr3:uid="{271C42CB-4CAA-448C-B02D-A0DC4C0A70D9}" name="fev/24" dataDxfId="102" totalsRowDxfId="101" dataCellStyle="Vírgula"/>
    <tableColumn id="19" xr3:uid="{6CFAE199-A0C9-4882-9FA5-973A95120FDF}" name="mar/24" dataDxfId="100" totalsRowDxfId="99" dataCellStyle="Vírgula"/>
    <tableColumn id="20" xr3:uid="{48E278FE-9C4E-45CD-B13B-877383613BB4}" name="abr/24" dataDxfId="98" totalsRowDxfId="97" dataCellStyle="Vírgula"/>
    <tableColumn id="21" xr3:uid="{8976B73C-CE1F-414E-9FC0-6289C1C2E55D}" name="mai/24" dataDxfId="96" totalsRowDxfId="95" dataCellStyle="Vírgula"/>
    <tableColumn id="22" xr3:uid="{F243EF24-2029-4D58-B09D-E6B843DC39F5}" name="jun/24" dataDxfId="94" totalsRowDxfId="93" dataCellStyle="Vírgula"/>
    <tableColumn id="23" xr3:uid="{6F1FC44A-5B3F-4F4E-8648-A6CF3EFF8184}" name="jul/24" dataDxfId="92" totalsRowDxfId="91" dataCellStyle="Vírgula"/>
    <tableColumn id="24" xr3:uid="{D073FFA1-3B14-4C7F-8BEC-3F504EA1662E}" name="ago/24" dataDxfId="90" totalsRowDxfId="89" dataCellStyle="Vírgula"/>
    <tableColumn id="25" xr3:uid="{A253F225-F47E-47D5-B034-D3BF715E0D69}" name="set/24" dataDxfId="88" totalsRowDxfId="87" dataCellStyle="Vírgula"/>
    <tableColumn id="26" xr3:uid="{89564376-62FA-4108-94CC-EFA9D2311D49}" name="out/24" dataDxfId="86" totalsRowDxfId="85" dataCellStyle="Vírgula"/>
    <tableColumn id="27" xr3:uid="{9462775E-5891-429D-B277-6992404430AF}" name="nov/24" dataDxfId="84" totalsRowDxfId="83" dataCellStyle="Vírgula"/>
    <tableColumn id="28" xr3:uid="{C9B8A4E6-41DB-4296-9DA7-83D4424938A5}" name="dez/24" dataDxfId="82" totalsRowDxfId="81" dataCellStyle="Vírgula"/>
    <tableColumn id="4" xr3:uid="{05CB8ABE-9A4E-4AB8-A430-992128DFA668}" name="jan/25" dataDxfId="80" totalsRowDxfId="79" dataCellStyle="Vírgula"/>
    <tableColumn id="5" xr3:uid="{37F1F393-3327-4D4C-A7C7-32ACB5E33AB0}" name="fev/25" dataDxfId="78" totalsRowDxfId="77" dataCellStyle="Vírgula"/>
    <tableColumn id="6" xr3:uid="{364759EA-4C28-460D-B735-9D3E68828454}" name="mar/25" dataDxfId="76" totalsRowDxfId="75" dataCellStyle="Vírgula"/>
    <tableColumn id="7" xr3:uid="{C437E78A-B662-4524-A08B-D5A1099E30FA}" name="abr/25" dataDxfId="74" totalsRowDxfId="73" dataCellStyle="Vírgula"/>
    <tableColumn id="8" xr3:uid="{1B31755D-8761-42B0-A8C6-1E8C56EFA0C0}" name="mai/25" dataDxfId="72" totalsRowDxfId="71" dataCellStyle="Vírgula"/>
    <tableColumn id="9" xr3:uid="{0D70BB97-7CF1-4A1A-A355-B9DB7A8A4A5B}" name="jun/25" dataDxfId="70" totalsRowDxfId="69" dataCellStyle="Vírgula"/>
    <tableColumn id="10" xr3:uid="{5C033187-BCE3-458A-91AB-E0C6A6753EC4}" name="jul/25" dataDxfId="68" totalsRowDxfId="67" dataCellStyle="Vírgula"/>
    <tableColumn id="11" xr3:uid="{06836E66-15A2-44D3-88ED-647DE5E7C737}" name="ago/25" dataDxfId="66" totalsRowDxfId="65" dataCellStyle="Vírgula"/>
    <tableColumn id="44" xr3:uid="{4298EECA-A1FE-4B8D-ABBE-527BD7C9B339}" name="set/25" dataDxfId="64" totalsRowDxfId="63" dataCellStyle="Vírgula"/>
    <tableColumn id="13" xr3:uid="{004424A2-56D2-4A3A-A4D4-1E58B2332F73}" name="out/25" dataDxfId="62" totalsRowDxfId="61" dataCellStyle="Vírgula"/>
    <tableColumn id="57" xr3:uid="{25CC8B01-6896-4215-B3A3-6BE1864E4993}" name="nov/25" dataDxfId="60" totalsRowDxfId="59" dataCellStyle="Vírgula"/>
    <tableColumn id="15" xr3:uid="{2951BC50-A2C1-4B7D-88FE-32A42CB08BA3}" name="dez/25" dataDxfId="58" totalsRowDxfId="57" dataCellStyle="Vírgula"/>
    <tableColumn id="45" xr3:uid="{CE43E273-FDF2-4BB7-9D49-5B61C4133653}" name="jan/26" dataDxfId="56" totalsRowDxfId="55" dataCellStyle="Vírgula"/>
    <tableColumn id="46" xr3:uid="{CF571884-AA77-40BE-8CE2-6F4B8388EB9F}" name="fev/26" dataDxfId="54" totalsRowDxfId="53" dataCellStyle="Vírgula"/>
    <tableColumn id="47" xr3:uid="{979103F7-DCE3-42FB-B3E1-49D5BF96B1A7}" name="mar/26" dataDxfId="52" totalsRowDxfId="51" dataCellStyle="Vírgula"/>
    <tableColumn id="48" xr3:uid="{929899C9-639C-4B0C-BF38-D0E2E4BF34AF}" name="abr/26" dataDxfId="50" totalsRowDxfId="49" dataCellStyle="Vírgula"/>
    <tableColumn id="49" xr3:uid="{2CCC794B-49B5-49FB-9FC1-81B5078420E4}" name="mai/26" dataDxfId="48" totalsRowDxfId="47" dataCellStyle="Vírgul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BDACA1-E3F2-4F43-88D8-6074C6061AC4}" name="Tabela5" displayName="Tabela5" ref="A1:S158" totalsRowShown="0" headerRowDxfId="46" dataDxfId="45">
  <autoFilter ref="A1:S158" xr:uid="{D6BDACA1-E3F2-4F43-88D8-6074C6061AC4}"/>
  <tableColumns count="19">
    <tableColumn id="1" xr3:uid="{0DE0AFFB-5C00-4071-9024-D801308908F5}" name="Código" dataDxfId="44" dataCellStyle="Normal_Plan1"/>
    <tableColumn id="2" xr3:uid="{93B39C63-0A53-4307-8B11-C4E0EA4BF06D}" name="Descrição do Produto" dataDxfId="43" dataCellStyle="Normal_Plan1"/>
    <tableColumn id="3" xr3:uid="{16B09928-3320-4D89-81FB-20E57FAFCF04}" name="jan/26" dataDxfId="42" dataCellStyle="Vírgula"/>
    <tableColumn id="4" xr3:uid="{0904B692-7C8A-49AF-B2DE-9F412D0D36A3}" name="fev/26" dataDxfId="41" dataCellStyle="Vírgula"/>
    <tableColumn id="5" xr3:uid="{E217E575-505C-43C3-9B68-6466A3D17B67}" name="mar/26" dataDxfId="40" dataCellStyle="Vírgula"/>
    <tableColumn id="6" xr3:uid="{098776EC-31C5-46AD-B768-D856D32B95DE}" name="abr/26" dataDxfId="39" dataCellStyle="Vírgula"/>
    <tableColumn id="7" xr3:uid="{5BB6034D-ED08-4D7C-9539-187CFA053387}" name="mai/26" dataDxfId="38" dataCellStyle="Vírgula"/>
    <tableColumn id="8" xr3:uid="{D4E1B02B-0287-47F3-87C7-61184B5687BD}" name="jun/26" dataDxfId="37" dataCellStyle="Vírgula"/>
    <tableColumn id="9" xr3:uid="{6E994253-26F4-4E8C-9DA8-DAF489E3B54C}" name="jul/26" dataDxfId="36" dataCellStyle="Vírgula"/>
    <tableColumn id="10" xr3:uid="{A847562A-AAFE-4C03-A4AB-283DD6BF8579}" name="ago/26" dataDxfId="35" dataCellStyle="Vírgula"/>
    <tableColumn id="11" xr3:uid="{FF752F0E-B185-4B86-875C-1FD69C175C0B}" name="set/26" dataDxfId="34" dataCellStyle="Vírgula"/>
    <tableColumn id="12" xr3:uid="{DB94CFEB-8EA2-4E95-9D7E-C81E5B8CA1C9}" name="out/26" dataDxfId="33" dataCellStyle="Vírgula"/>
    <tableColumn id="13" xr3:uid="{07A4512D-4469-4EDC-8C07-52C2DF506E70}" name="nov/26" dataDxfId="32" dataCellStyle="Vírgula"/>
    <tableColumn id="14" xr3:uid="{515C71CC-4AFB-4FDB-B8D4-D435872D171A}" name="dez/26" dataDxfId="31" dataCellStyle="Vírgula"/>
    <tableColumn id="15" xr3:uid="{C250A92E-6C9C-4FB0-A409-0D4A827CDF88}" name="DE/PARA" dataDxfId="30"/>
    <tableColumn id="16" xr3:uid="{9845EC09-8EF5-412C-9C69-EA565023E8C7}" name="und/caixa" dataDxfId="29">
      <calculatedColumnFormula>IFERROR(VLOOKUP(A2,'[1]Padronização 43'!$B:$Q,16,0),0)</calculatedColumnFormula>
    </tableColumn>
    <tableColumn id="17" xr3:uid="{711A72BF-1039-488D-BE2D-51CBD9EC1825}" name="M2" dataDxfId="28">
      <calculatedColumnFormula>IFERROR(I2/P2,0)</calculatedColumnFormula>
    </tableColumn>
    <tableColumn id="18" xr3:uid="{56480B11-86D3-420D-B317-6BF8404698AB}" name="M3" dataDxfId="27">
      <calculatedColumnFormula>IFERROR(J2/$P$2,0)</calculatedColumnFormula>
    </tableColumn>
    <tableColumn id="19" xr3:uid="{B24FF313-1FAC-48A5-B779-CAB7DC5747F7}" name="M4" dataDxfId="26">
      <calculatedColumnFormula>IFERROR(K2/$P$2,0)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F81959-C3FA-490E-ACF9-76101B544DF1}" name="Segmentos" displayName="Segmentos" ref="A1:I492" tableType="queryTable" totalsRowShown="0">
  <autoFilter ref="A1:I492" xr:uid="{6FF81959-C3FA-490E-ACF9-76101B544DF1}"/>
  <sortState xmlns:xlrd2="http://schemas.microsoft.com/office/spreadsheetml/2017/richdata2" ref="A2:I492">
    <sortCondition ref="E1:E492"/>
  </sortState>
  <tableColumns count="9">
    <tableColumn id="1" xr3:uid="{77FB8602-4579-4088-9458-219B791E6962}" uniqueName="1" name="PRODUTO" queryTableFieldId="1" dataDxfId="25"/>
    <tableColumn id="2" xr3:uid="{D30FB06F-B34D-4C1B-AB3A-D011F8EB891C}" uniqueName="2" name="BU" queryTableFieldId="2" dataDxfId="24"/>
    <tableColumn id="3" xr3:uid="{9CECBAA4-F801-49B9-ABD6-D06B86C036BD}" uniqueName="3" name="CATEGORIA" queryTableFieldId="3" dataDxfId="23"/>
    <tableColumn id="4" xr3:uid="{01D8C954-5662-465F-959D-9BAFE0D2DD76}" uniqueName="4" name="SEGMENTO" queryTableFieldId="4" dataDxfId="22"/>
    <tableColumn id="9" xr3:uid="{458E6CB3-CB40-49EC-B0B1-EE5CC24E3CB3}" uniqueName="9" name="2026" queryTableFieldId="10" dataDxfId="21"/>
    <tableColumn id="5" xr3:uid="{6946D1C1-8CC1-4B15-B44D-F35CE5DDD93A}" uniqueName="5" name="2025" queryTableFieldId="6" dataDxfId="20"/>
    <tableColumn id="6" xr3:uid="{EEB903D0-8649-4816-998C-D5DF76D181A4}" uniqueName="6" name="2024" queryTableFieldId="7" dataDxfId="19"/>
    <tableColumn id="7" xr3:uid="{5B137ABA-A02B-4AE5-99DB-8ADB6CAB1BF6}" uniqueName="7" name="2023" queryTableFieldId="8" dataDxfId="18"/>
    <tableColumn id="8" xr3:uid="{6E09114B-DBF4-4170-85B1-8E86F852BF96}" uniqueName="8" name="2022" queryTableFieldId="9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9C1BD1-2EFD-45ED-88EC-D4D342888013}" name="Pendencia_Func" displayName="Pendencia_Func" ref="A1:E153" tableType="queryTable" totalsRowShown="0">
  <autoFilter ref="A1:E153" xr:uid="{2A9C1BD1-2EFD-45ED-88EC-D4D342888013}"/>
  <sortState xmlns:xlrd2="http://schemas.microsoft.com/office/spreadsheetml/2017/richdata2" ref="A2:E153">
    <sortCondition ref="A1:A153"/>
  </sortState>
  <tableColumns count="5">
    <tableColumn id="22" xr3:uid="{4B3540AC-965A-41E5-8614-1F03B6525ACC}" uniqueName="22" name="PRODUTO" queryTableFieldId="22"/>
    <tableColumn id="38" xr3:uid="{D33EC747-0FF8-4FC3-92B3-8BD98DC56105}" uniqueName="38" name="Descrição" queryTableFieldId="38"/>
    <tableColumn id="39" xr3:uid="{575BCC08-DF12-4CF7-B664-2B977B8B08BC}" uniqueName="39" name="QT Pedido" queryTableFieldId="39"/>
    <tableColumn id="40" xr3:uid="{79C90D45-B86A-4663-952D-C3FF098C2620}" uniqueName="40" name="VL Pedido" queryTableFieldId="40" dataDxfId="16" dataCellStyle="Moeda"/>
    <tableColumn id="41" xr3:uid="{1FB6CF2F-1669-46F1-B639-BAB48B5336FE}" uniqueName="41" name="PMV" queryTableFieldId="41" dataDxfId="15" dataCellStyle="Moe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4456-2A34-41F1-8735-B3E5A0ABB504}">
  <sheetPr>
    <pageSetUpPr fitToPage="1"/>
  </sheetPr>
  <dimension ref="A1:AW351"/>
  <sheetViews>
    <sheetView showGridLines="0" tabSelected="1" zoomScaleNormal="100" workbookViewId="0">
      <pane xSplit="2" ySplit="1" topLeftCell="AS2" activePane="bottomRight" state="frozen"/>
      <selection pane="topRight" activeCell="C1" sqref="C1"/>
      <selection pane="bottomLeft" activeCell="A2" sqref="A2"/>
      <selection pane="bottomRight" activeCell="AV2" sqref="AV2"/>
    </sheetView>
  </sheetViews>
  <sheetFormatPr defaultColWidth="9.109375" defaultRowHeight="12" outlineLevelCol="1" x14ac:dyDescent="0.3"/>
  <cols>
    <col min="1" max="1" width="11" style="5" bestFit="1" customWidth="1"/>
    <col min="2" max="2" width="46" style="5" bestFit="1" customWidth="1"/>
    <col min="3" max="3" width="15.5546875" style="5" customWidth="1"/>
    <col min="4" max="4" width="17" style="5" customWidth="1"/>
    <col min="5" max="5" width="40" style="5" customWidth="1"/>
    <col min="6" max="6" width="17.33203125" style="5" customWidth="1"/>
    <col min="7" max="7" width="27.109375" style="5" customWidth="1"/>
    <col min="8" max="8" width="11.88671875" style="5" customWidth="1" outlineLevel="1"/>
    <col min="9" max="9" width="12" style="5" customWidth="1" outlineLevel="1"/>
    <col min="10" max="10" width="12.6640625" style="5" customWidth="1" outlineLevel="1"/>
    <col min="11" max="11" width="12.109375" style="5" customWidth="1" outlineLevel="1"/>
    <col min="12" max="12" width="12.44140625" style="5" customWidth="1" outlineLevel="1"/>
    <col min="13" max="13" width="12" style="5" customWidth="1" outlineLevel="1"/>
    <col min="14" max="14" width="11.44140625" style="5" customWidth="1" outlineLevel="1"/>
    <col min="15" max="15" width="12.33203125" style="5" customWidth="1" outlineLevel="1"/>
    <col min="16" max="16" width="12" style="5" customWidth="1" outlineLevel="1"/>
    <col min="17" max="17" width="12.33203125" style="5" customWidth="1" outlineLevel="1"/>
    <col min="18" max="18" width="12.44140625" style="5" customWidth="1" outlineLevel="1"/>
    <col min="19" max="19" width="12.33203125" style="5" customWidth="1" outlineLevel="1"/>
    <col min="20" max="20" width="11.88671875" style="1" customWidth="1" outlineLevel="1"/>
    <col min="21" max="21" width="12" style="1" customWidth="1" outlineLevel="1"/>
    <col min="22" max="22" width="12.6640625" style="1" customWidth="1" outlineLevel="1"/>
    <col min="23" max="23" width="12.109375" style="1" customWidth="1" outlineLevel="1"/>
    <col min="24" max="24" width="12.44140625" style="1" customWidth="1" outlineLevel="1"/>
    <col min="25" max="25" width="12" style="1" customWidth="1" outlineLevel="1"/>
    <col min="26" max="26" width="11.44140625" style="1" customWidth="1" outlineLevel="1"/>
    <col min="27" max="27" width="12.33203125" style="1" customWidth="1" outlineLevel="1"/>
    <col min="28" max="28" width="12" style="1" customWidth="1" outlineLevel="1"/>
    <col min="29" max="29" width="12.33203125" style="1" customWidth="1" outlineLevel="1"/>
    <col min="30" max="30" width="12.44140625" style="1" customWidth="1" outlineLevel="1"/>
    <col min="31" max="31" width="12.33203125" style="1" customWidth="1" outlineLevel="1"/>
    <col min="32" max="32" width="11.88671875" style="1" customWidth="1" outlineLevel="1"/>
    <col min="33" max="33" width="12" style="1" customWidth="1" outlineLevel="1"/>
    <col min="34" max="34" width="12.6640625" style="1" customWidth="1" outlineLevel="1"/>
    <col min="35" max="35" width="12.109375" style="1" customWidth="1" outlineLevel="1"/>
    <col min="36" max="36" width="12.44140625" style="1" customWidth="1" outlineLevel="1"/>
    <col min="37" max="37" width="12" style="1" customWidth="1" outlineLevel="1"/>
    <col min="38" max="38" width="11.44140625" style="1" customWidth="1" outlineLevel="1"/>
    <col min="39" max="39" width="12.33203125" style="1" customWidth="1" outlineLevel="1"/>
    <col min="40" max="40" width="12" style="1" customWidth="1" outlineLevel="1"/>
    <col min="41" max="41" width="12.33203125" style="1" customWidth="1" outlineLevel="1"/>
    <col min="42" max="42" width="12.44140625" style="1" customWidth="1" outlineLevel="1"/>
    <col min="43" max="43" width="12.33203125" style="1" customWidth="1" outlineLevel="1"/>
    <col min="44" max="44" width="11.88671875" style="5" customWidth="1" outlineLevel="1"/>
    <col min="45" max="45" width="12" style="1" customWidth="1" outlineLevel="1" collapsed="1"/>
    <col min="46" max="46" width="12.6640625" style="1" customWidth="1" outlineLevel="1"/>
    <col min="47" max="47" width="12.109375" style="1" customWidth="1" outlineLevel="1"/>
    <col min="48" max="48" width="12.44140625" style="1" customWidth="1" outlineLevel="1"/>
    <col min="49" max="16384" width="9.109375" style="5"/>
  </cols>
  <sheetData>
    <row r="1" spans="1:48" s="6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x14ac:dyDescent="0.3">
      <c r="A2" s="4">
        <v>410015729</v>
      </c>
      <c r="B2" s="4" t="s">
        <v>56</v>
      </c>
      <c r="C2" s="4" t="str">
        <f>IFERROR(VLOOKUP(Tabela1[[#This Row],[Código]],Cadastro!$A:$J,2,0),"Sem Cadastro")</f>
        <v>ADOÇANTES</v>
      </c>
      <c r="D2" s="4" t="str">
        <f>IFERROR(VLOOKUP(Tabela1[[#This Row],[Código]],Cadastro!$A:$J,3,0),"Sem Cadastro")</f>
        <v>SACARINA</v>
      </c>
      <c r="E2" s="4" t="str">
        <f>IFERROR(VLOOKUP(Tabela1[[#This Row],[Código]],Cadastro!$A:$J,4,0),"Sem Cadastro")</f>
        <v>SACARINA LÍQUIDO</v>
      </c>
      <c r="F2" s="4" t="str">
        <f>IFERROR(VLOOKUP(Tabela1[[#This Row],[Código]],Cadastro!$A:$J,5,0),"Sem Cadastro")</f>
        <v>LANÇAMENTO</v>
      </c>
      <c r="G2" s="5" t="s">
        <v>57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1">
        <v>0</v>
      </c>
      <c r="AT2" s="1">
        <v>10000</v>
      </c>
      <c r="AU2" s="1">
        <v>30000</v>
      </c>
      <c r="AV2" s="1">
        <v>30000</v>
      </c>
    </row>
    <row r="3" spans="1:48" x14ac:dyDescent="0.3">
      <c r="A3" s="4">
        <v>410025614</v>
      </c>
      <c r="B3" s="4" t="s">
        <v>58</v>
      </c>
      <c r="C3" s="4" t="str">
        <f>IFERROR(VLOOKUP(Tabela1[[#This Row],[Código]],Cadastro!$A:$J,2,0),"Sem Cadastro")</f>
        <v>ADOÇANTES</v>
      </c>
      <c r="D3" s="4" t="str">
        <f>IFERROR(VLOOKUP(Tabela1[[#This Row],[Código]],Cadastro!$A:$J,3,0),"Sem Cadastro")</f>
        <v>SUCRALOSE</v>
      </c>
      <c r="E3" s="4" t="str">
        <f>IFERROR(VLOOKUP(Tabela1[[#This Row],[Código]],Cadastro!$A:$J,4,0),"Sem Cadastro")</f>
        <v>SUCRALOSE INSTITUCIONAL</v>
      </c>
      <c r="F3" s="4" t="str">
        <f>IFERROR(VLOOKUP(Tabela1[[#This Row],[Código]],Cadastro!$A:$J,5,0),"Sem Cadastro")</f>
        <v>AA</v>
      </c>
      <c r="G3" s="5" t="s">
        <v>59</v>
      </c>
      <c r="H3" s="1">
        <v>0</v>
      </c>
      <c r="I3" s="1">
        <v>0</v>
      </c>
      <c r="J3" s="1">
        <v>0</v>
      </c>
      <c r="K3" s="1">
        <v>2738</v>
      </c>
      <c r="L3" s="1">
        <v>15267.91832821663</v>
      </c>
      <c r="M3" s="1">
        <v>11000</v>
      </c>
      <c r="N3" s="1">
        <v>13380</v>
      </c>
      <c r="O3" s="1">
        <v>11200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8000</v>
      </c>
      <c r="W3" s="1">
        <v>9000</v>
      </c>
      <c r="X3" s="1">
        <v>10500</v>
      </c>
      <c r="Y3" s="1">
        <v>10300</v>
      </c>
      <c r="Z3" s="1">
        <v>13664</v>
      </c>
      <c r="AA3" s="1">
        <v>13664</v>
      </c>
      <c r="AB3" s="1">
        <v>12000</v>
      </c>
      <c r="AC3" s="1">
        <v>13061</v>
      </c>
      <c r="AD3" s="1">
        <v>12500</v>
      </c>
      <c r="AE3" s="1">
        <v>12000</v>
      </c>
      <c r="AF3" s="1">
        <v>12848</v>
      </c>
      <c r="AG3" s="1">
        <v>11640.715309500001</v>
      </c>
      <c r="AH3" s="1">
        <v>12500</v>
      </c>
      <c r="AI3" s="1">
        <v>12999.999999999998</v>
      </c>
      <c r="AJ3" s="1">
        <v>16654.809444838334</v>
      </c>
      <c r="AK3" s="1">
        <v>14091.489426140181</v>
      </c>
      <c r="AL3" s="1">
        <v>16148.481678160799</v>
      </c>
      <c r="AM3" s="1">
        <v>13021.198602914905</v>
      </c>
      <c r="AN3" s="1">
        <v>13842.102528985717</v>
      </c>
      <c r="AO3" s="1">
        <v>15007.386844260214</v>
      </c>
      <c r="AP3" s="1">
        <v>13784.536372229053</v>
      </c>
      <c r="AQ3" s="1">
        <v>12418.651468257893</v>
      </c>
      <c r="AR3" s="1">
        <v>11986</v>
      </c>
      <c r="AS3" s="1">
        <v>13270</v>
      </c>
      <c r="AT3" s="1">
        <v>2500</v>
      </c>
      <c r="AU3" s="1">
        <v>2000</v>
      </c>
      <c r="AV3" s="1">
        <v>12000</v>
      </c>
    </row>
    <row r="4" spans="1:48" x14ac:dyDescent="0.3">
      <c r="A4" s="4">
        <v>410014792</v>
      </c>
      <c r="B4" s="4" t="s">
        <v>60</v>
      </c>
      <c r="C4" s="4" t="str">
        <f>IFERROR(VLOOKUP(Tabela1[[#This Row],[Código]],Cadastro!$A:$J,2,0),"Sem Cadastro")</f>
        <v>ADOÇANTES</v>
      </c>
      <c r="D4" s="4" t="str">
        <f>IFERROR(VLOOKUP(Tabela1[[#This Row],[Código]],Cadastro!$A:$J,3,0),"Sem Cadastro")</f>
        <v>STEVIA</v>
      </c>
      <c r="E4" s="4" t="str">
        <f>IFERROR(VLOOKUP(Tabela1[[#This Row],[Código]],Cadastro!$A:$J,4,0),"Sem Cadastro")</f>
        <v>STEVIA LÍQUIDO</v>
      </c>
      <c r="F4" s="4" t="str">
        <f>IFERROR(VLOOKUP(Tabela1[[#This Row],[Código]],Cadastro!$A:$J,5,0),"Sem Cadastro")</f>
        <v>AA</v>
      </c>
      <c r="G4" s="5" t="s">
        <v>61</v>
      </c>
      <c r="H4" s="1">
        <v>5960.0875433106148</v>
      </c>
      <c r="I4" s="1">
        <v>11308.146619038349</v>
      </c>
      <c r="J4" s="1">
        <v>9995.0982655213793</v>
      </c>
      <c r="K4" s="1">
        <v>9931</v>
      </c>
      <c r="L4" s="1">
        <v>10702.786678844448</v>
      </c>
      <c r="M4" s="1">
        <v>10000</v>
      </c>
      <c r="N4" s="1">
        <v>11150</v>
      </c>
      <c r="O4" s="1">
        <v>10000</v>
      </c>
      <c r="P4" s="1">
        <v>11200</v>
      </c>
      <c r="Q4" s="1">
        <v>10199.999999999998</v>
      </c>
      <c r="R4" s="1">
        <v>9548.2960810533677</v>
      </c>
      <c r="S4" s="1">
        <v>7966</v>
      </c>
      <c r="T4" s="1">
        <v>7000.0000000000009</v>
      </c>
      <c r="U4" s="1">
        <v>8500</v>
      </c>
      <c r="V4" s="1">
        <v>10792.280000000008</v>
      </c>
      <c r="W4" s="1">
        <v>10500</v>
      </c>
      <c r="X4" s="1">
        <v>9800</v>
      </c>
      <c r="Y4" s="1">
        <v>10500</v>
      </c>
      <c r="Z4" s="1">
        <v>11133</v>
      </c>
      <c r="AA4" s="1">
        <v>11133</v>
      </c>
      <c r="AB4" s="1">
        <v>9500</v>
      </c>
      <c r="AC4" s="1">
        <v>9900</v>
      </c>
      <c r="AD4" s="1">
        <v>9000</v>
      </c>
      <c r="AE4" s="1">
        <v>7500</v>
      </c>
      <c r="AF4" s="1">
        <v>7495</v>
      </c>
      <c r="AG4" s="1">
        <v>8726.2535459999817</v>
      </c>
      <c r="AH4" s="1">
        <v>8861.8104359999797</v>
      </c>
      <c r="AI4" s="1">
        <v>8400.0000000000255</v>
      </c>
      <c r="AJ4" s="1">
        <v>8348.3730034392047</v>
      </c>
      <c r="AK4" s="1">
        <v>9353.2699190753883</v>
      </c>
      <c r="AL4" s="1">
        <v>10543.179396996014</v>
      </c>
      <c r="AM4" s="1">
        <v>10401.858704272247</v>
      </c>
      <c r="AN4" s="1">
        <v>9835.8114507018217</v>
      </c>
      <c r="AO4" s="1">
        <v>9638.7216825424421</v>
      </c>
      <c r="AP4" s="1">
        <v>11849.785037456957</v>
      </c>
      <c r="AQ4" s="1">
        <v>9921.5009078029434</v>
      </c>
      <c r="AR4" s="1">
        <v>8465</v>
      </c>
      <c r="AS4" s="1">
        <v>11000</v>
      </c>
      <c r="AT4" s="1">
        <v>3169.7999999999997</v>
      </c>
      <c r="AU4" s="1">
        <v>3045.6</v>
      </c>
      <c r="AV4" s="1">
        <v>9170</v>
      </c>
    </row>
    <row r="5" spans="1:48" x14ac:dyDescent="0.3">
      <c r="A5" s="4">
        <v>410010021</v>
      </c>
      <c r="B5" s="4" t="s">
        <v>62</v>
      </c>
      <c r="C5" s="4" t="str">
        <f>IFERROR(VLOOKUP(Tabela1[[#This Row],[Código]],Cadastro!$A:$J,2,0),"Sem Cadastro")</f>
        <v>ADOÇANTES</v>
      </c>
      <c r="D5" s="4" t="str">
        <f>IFERROR(VLOOKUP(Tabela1[[#This Row],[Código]],Cadastro!$A:$J,3,0),"Sem Cadastro")</f>
        <v>SUCRALOSE</v>
      </c>
      <c r="E5" s="4" t="str">
        <f>IFERROR(VLOOKUP(Tabela1[[#This Row],[Código]],Cadastro!$A:$J,4,0),"Sem Cadastro")</f>
        <v>SUCRALOSE LÍQUIDO</v>
      </c>
      <c r="F5" s="4" t="str">
        <f>IFERROR(VLOOKUP(Tabela1[[#This Row],[Código]],Cadastro!$A:$J,5,0),"Sem Cadastro")</f>
        <v>AA</v>
      </c>
      <c r="G5" s="5" t="s">
        <v>63</v>
      </c>
      <c r="H5" s="1">
        <v>6872.7389019078591</v>
      </c>
      <c r="I5" s="1">
        <v>10157.400408143762</v>
      </c>
      <c r="J5" s="1">
        <v>9211.3862056485032</v>
      </c>
      <c r="K5" s="1">
        <v>10828</v>
      </c>
      <c r="L5" s="1">
        <v>10835.167473597772</v>
      </c>
      <c r="M5" s="1">
        <v>10800</v>
      </c>
      <c r="N5" s="1">
        <v>10000</v>
      </c>
      <c r="O5" s="1">
        <v>9600</v>
      </c>
      <c r="P5" s="1">
        <v>11000</v>
      </c>
      <c r="Q5" s="1">
        <v>10000</v>
      </c>
      <c r="R5" s="1">
        <v>10416.322997512763</v>
      </c>
      <c r="S5" s="1">
        <v>7716</v>
      </c>
      <c r="T5" s="1">
        <v>6000</v>
      </c>
      <c r="U5" s="1">
        <v>7499.9999999999991</v>
      </c>
      <c r="V5" s="1">
        <v>9500</v>
      </c>
      <c r="W5" s="1">
        <v>9149.1294249533985</v>
      </c>
      <c r="X5" s="1">
        <v>9000</v>
      </c>
      <c r="Y5" s="1">
        <v>10000</v>
      </c>
      <c r="Z5" s="1">
        <v>9542</v>
      </c>
      <c r="AA5" s="1">
        <v>9542</v>
      </c>
      <c r="AB5" s="1">
        <v>8400</v>
      </c>
      <c r="AC5" s="1">
        <v>7833</v>
      </c>
      <c r="AD5" s="1">
        <v>8000</v>
      </c>
      <c r="AE5" s="1">
        <v>7800</v>
      </c>
      <c r="AF5" s="1">
        <v>8031</v>
      </c>
      <c r="AG5" s="1">
        <v>7430.0376879999721</v>
      </c>
      <c r="AH5" s="1">
        <v>8000</v>
      </c>
      <c r="AI5" s="1">
        <v>7999.9999999999745</v>
      </c>
      <c r="AJ5" s="1">
        <v>7739.2287462033764</v>
      </c>
      <c r="AK5" s="1">
        <v>8524.798748817042</v>
      </c>
      <c r="AL5" s="1">
        <v>9573.6173340833411</v>
      </c>
      <c r="AM5" s="1">
        <v>10168.038330342381</v>
      </c>
      <c r="AN5" s="1">
        <v>10262.675757976211</v>
      </c>
      <c r="AO5" s="1">
        <v>9986.2415389284051</v>
      </c>
      <c r="AP5" s="1">
        <v>9443.4565062436013</v>
      </c>
      <c r="AQ5" s="1">
        <v>9225.6648595065017</v>
      </c>
      <c r="AR5" s="1">
        <v>7568</v>
      </c>
      <c r="AS5" s="1">
        <v>8460</v>
      </c>
      <c r="AT5" s="1">
        <v>1800</v>
      </c>
      <c r="AU5" s="1">
        <v>2000</v>
      </c>
      <c r="AV5" s="1">
        <v>7560</v>
      </c>
    </row>
    <row r="6" spans="1:48" x14ac:dyDescent="0.3">
      <c r="A6" s="4">
        <v>415014749</v>
      </c>
      <c r="B6" s="4" t="s">
        <v>64</v>
      </c>
      <c r="C6" s="4" t="str">
        <f>IFERROR(VLOOKUP(Tabela1[[#This Row],[Código]],Cadastro!$A:$J,2,0),"Sem Cadastro")</f>
        <v>ADOÇANTES</v>
      </c>
      <c r="D6" s="4" t="str">
        <f>IFERROR(VLOOKUP(Tabela1[[#This Row],[Código]],Cadastro!$A:$J,3,0),"Sem Cadastro")</f>
        <v>STEVIA</v>
      </c>
      <c r="E6" s="4" t="str">
        <f>IFERROR(VLOOKUP(Tabela1[[#This Row],[Código]],Cadastro!$A:$J,4,0),"Sem Cadastro")</f>
        <v>STEVIA LÍQUIDO</v>
      </c>
      <c r="F6" s="4" t="str">
        <f>IFERROR(VLOOKUP(Tabela1[[#This Row],[Código]],Cadastro!$A:$J,5,0),"Sem Cadastro")</f>
        <v>AA</v>
      </c>
      <c r="G6" s="5" t="s">
        <v>61</v>
      </c>
      <c r="H6" s="1">
        <v>2746</v>
      </c>
      <c r="I6" s="1">
        <v>3049.625</v>
      </c>
      <c r="J6" s="1">
        <v>2329.122993113202</v>
      </c>
      <c r="K6" s="1">
        <v>2453</v>
      </c>
      <c r="L6" s="1">
        <v>4539.0566443450125</v>
      </c>
      <c r="M6" s="1">
        <v>5000</v>
      </c>
      <c r="N6" s="1">
        <v>7360</v>
      </c>
      <c r="O6" s="1">
        <v>5500</v>
      </c>
      <c r="P6" s="1">
        <v>6500</v>
      </c>
      <c r="Q6" s="1">
        <v>5599.9999999999991</v>
      </c>
      <c r="R6" s="1">
        <v>5815.78034027796</v>
      </c>
      <c r="S6" s="1">
        <v>4624</v>
      </c>
      <c r="T6" s="1">
        <v>4500</v>
      </c>
      <c r="U6" s="1">
        <v>4999.9999999999991</v>
      </c>
      <c r="V6" s="1">
        <v>5637.3899999999994</v>
      </c>
      <c r="W6" s="1">
        <v>6000</v>
      </c>
      <c r="X6" s="1">
        <v>6000</v>
      </c>
      <c r="Y6" s="1">
        <v>6600</v>
      </c>
      <c r="Z6" s="1">
        <v>7581</v>
      </c>
      <c r="AA6" s="1">
        <v>7581</v>
      </c>
      <c r="AB6" s="1">
        <v>6500</v>
      </c>
      <c r="AC6" s="1">
        <v>5845</v>
      </c>
      <c r="AD6" s="1">
        <v>6000</v>
      </c>
      <c r="AE6" s="1">
        <v>4500</v>
      </c>
      <c r="AF6" s="1">
        <v>4819</v>
      </c>
      <c r="AG6" s="1">
        <v>6217.5333109999874</v>
      </c>
      <c r="AH6" s="1">
        <v>6415.5439260000076</v>
      </c>
      <c r="AI6" s="1">
        <v>6600.0000000000018</v>
      </c>
      <c r="AJ6" s="1">
        <v>5986.321130002787</v>
      </c>
      <c r="AK6" s="1">
        <v>6805.0418216000526</v>
      </c>
      <c r="AL6" s="1">
        <v>8747.470608375661</v>
      </c>
      <c r="AM6" s="1">
        <v>8438.1986809488408</v>
      </c>
      <c r="AN6" s="1">
        <v>7903.2551316647132</v>
      </c>
      <c r="AO6" s="1">
        <v>8554.5650189871139</v>
      </c>
      <c r="AP6" s="1">
        <v>8541.577516096293</v>
      </c>
      <c r="AQ6" s="1">
        <v>7472.6794088352099</v>
      </c>
      <c r="AR6" s="1">
        <v>7016</v>
      </c>
      <c r="AS6" s="1">
        <v>7925</v>
      </c>
      <c r="AT6" s="1">
        <v>8729</v>
      </c>
      <c r="AU6" s="1">
        <v>8810</v>
      </c>
      <c r="AV6" s="1">
        <v>9500</v>
      </c>
    </row>
    <row r="7" spans="1:48" x14ac:dyDescent="0.3">
      <c r="A7" s="4">
        <v>410040157</v>
      </c>
      <c r="B7" s="4" t="s">
        <v>65</v>
      </c>
      <c r="C7" s="4" t="str">
        <f>IFERROR(VLOOKUP(Tabela1[[#This Row],[Código]],Cadastro!$A:$J,2,0),"Sem Cadastro")</f>
        <v>ALIMENTOS</v>
      </c>
      <c r="D7" s="4" t="str">
        <f>IFERROR(VLOOKUP(Tabela1[[#This Row],[Código]],Cadastro!$A:$J,3,0),"Sem Cadastro")</f>
        <v>GELEIAS</v>
      </c>
      <c r="E7" s="4" t="str">
        <f>IFERROR(VLOOKUP(Tabela1[[#This Row],[Código]],Cadastro!$A:$J,4,0),"Sem Cadastro")</f>
        <v>GELEIA DE FRUTAS</v>
      </c>
      <c r="F7" s="4" t="str">
        <f>IFERROR(VLOOKUP(Tabela1[[#This Row],[Código]],Cadastro!$A:$J,5,0),"Sem Cadastro")</f>
        <v>AA</v>
      </c>
      <c r="G7" s="5" t="s">
        <v>66</v>
      </c>
      <c r="H7" s="1">
        <v>4374.4851231869834</v>
      </c>
      <c r="I7" s="1">
        <v>5447.9531633797087</v>
      </c>
      <c r="J7" s="1">
        <v>6444.0147362079824</v>
      </c>
      <c r="K7" s="1">
        <v>6764</v>
      </c>
      <c r="L7" s="1">
        <v>5874.9994980639676</v>
      </c>
      <c r="M7" s="1">
        <v>8580</v>
      </c>
      <c r="N7" s="1">
        <v>9400</v>
      </c>
      <c r="O7" s="1">
        <v>9600</v>
      </c>
      <c r="P7" s="1">
        <v>9540.8977777777782</v>
      </c>
      <c r="Q7" s="1">
        <v>11200</v>
      </c>
      <c r="R7" s="1">
        <v>11500</v>
      </c>
      <c r="S7" s="1">
        <v>8644</v>
      </c>
      <c r="T7" s="1">
        <v>7999.9999999999991</v>
      </c>
      <c r="U7" s="1">
        <v>10000</v>
      </c>
      <c r="V7" s="1">
        <v>10339.33</v>
      </c>
      <c r="W7" s="1">
        <v>10000</v>
      </c>
      <c r="X7" s="1">
        <v>9000</v>
      </c>
      <c r="Y7" s="1">
        <v>9000</v>
      </c>
      <c r="Z7" s="1">
        <v>7686</v>
      </c>
      <c r="AA7" s="1">
        <v>7686</v>
      </c>
      <c r="AB7" s="1">
        <v>8000</v>
      </c>
      <c r="AC7" s="1">
        <v>7805</v>
      </c>
      <c r="AD7" s="1">
        <v>8000</v>
      </c>
      <c r="AE7" s="1">
        <v>6600</v>
      </c>
      <c r="AF7" s="1">
        <v>5889</v>
      </c>
      <c r="AG7" s="1">
        <v>5805.225494999986</v>
      </c>
      <c r="AH7" s="1">
        <v>6900</v>
      </c>
      <c r="AI7" s="1">
        <v>5800.0000000000218</v>
      </c>
      <c r="AJ7" s="1">
        <v>6040.0094447367774</v>
      </c>
      <c r="AK7" s="1">
        <v>6304.6018600541365</v>
      </c>
      <c r="AL7" s="1">
        <v>6105.4383610326331</v>
      </c>
      <c r="AM7" s="1">
        <v>5492.960667855712</v>
      </c>
      <c r="AN7" s="1">
        <v>6216.8948974745626</v>
      </c>
      <c r="AO7" s="1">
        <v>6927.419925541858</v>
      </c>
      <c r="AP7" s="1">
        <v>6698.6084803985614</v>
      </c>
      <c r="AQ7" s="1">
        <v>5974.5126304174055</v>
      </c>
      <c r="AR7" s="1">
        <v>5241</v>
      </c>
      <c r="AS7" s="1">
        <v>6500</v>
      </c>
      <c r="AT7" s="1">
        <v>7200</v>
      </c>
      <c r="AU7" s="1">
        <v>6900</v>
      </c>
      <c r="AV7" s="1">
        <v>7000</v>
      </c>
    </row>
    <row r="8" spans="1:48" x14ac:dyDescent="0.3">
      <c r="A8" s="4">
        <v>415015602</v>
      </c>
      <c r="B8" s="4" t="s">
        <v>67</v>
      </c>
      <c r="C8" s="4" t="str">
        <f>IFERROR(VLOOKUP(Tabela1[[#This Row],[Código]],Cadastro!$A:$J,2,0),"Sem Cadastro")</f>
        <v>ADOÇANTES</v>
      </c>
      <c r="D8" s="4" t="str">
        <f>IFERROR(VLOOKUP(Tabela1[[#This Row],[Código]],Cadastro!$A:$J,3,0),"Sem Cadastro")</f>
        <v>SUCRALOSE</v>
      </c>
      <c r="E8" s="4" t="str">
        <f>IFERROR(VLOOKUP(Tabela1[[#This Row],[Código]],Cadastro!$A:$J,4,0),"Sem Cadastro")</f>
        <v>SUCRALOSE LÍQUIDO</v>
      </c>
      <c r="F8" s="4" t="str">
        <f>IFERROR(VLOOKUP(Tabela1[[#This Row],[Código]],Cadastro!$A:$J,5,0),"Sem Cadastro")</f>
        <v>AA</v>
      </c>
      <c r="G8" s="5" t="s">
        <v>63</v>
      </c>
      <c r="H8" s="1">
        <v>3661</v>
      </c>
      <c r="I8" s="1">
        <v>3174.1083333333336</v>
      </c>
      <c r="J8" s="1">
        <v>1950.0214105335149</v>
      </c>
      <c r="K8" s="1">
        <v>2984</v>
      </c>
      <c r="L8" s="1">
        <v>5939.0838373422812</v>
      </c>
      <c r="M8" s="1">
        <v>6000</v>
      </c>
      <c r="N8" s="1">
        <v>10000</v>
      </c>
      <c r="O8" s="1">
        <v>6750</v>
      </c>
      <c r="P8" s="1">
        <v>8000</v>
      </c>
      <c r="Q8" s="1">
        <v>8500</v>
      </c>
      <c r="R8" s="1">
        <v>7812.2422481345729</v>
      </c>
      <c r="S8" s="1">
        <v>6554</v>
      </c>
      <c r="T8" s="1">
        <v>4500.0000000000009</v>
      </c>
      <c r="U8" s="1">
        <v>5200.0000000000018</v>
      </c>
      <c r="V8" s="1">
        <v>8000</v>
      </c>
      <c r="W8" s="1">
        <v>7500</v>
      </c>
      <c r="X8" s="1">
        <v>7200</v>
      </c>
      <c r="Y8" s="1">
        <v>7700</v>
      </c>
      <c r="Z8" s="1">
        <v>8161</v>
      </c>
      <c r="AA8" s="1">
        <v>8161</v>
      </c>
      <c r="AB8" s="1">
        <v>7000</v>
      </c>
      <c r="AC8" s="1">
        <v>6854</v>
      </c>
      <c r="AD8" s="1">
        <v>7500</v>
      </c>
      <c r="AE8" s="1">
        <v>5750</v>
      </c>
      <c r="AF8" s="1">
        <v>5354</v>
      </c>
      <c r="AG8" s="1">
        <v>6244.4451519999848</v>
      </c>
      <c r="AH8" s="1">
        <v>6443.3128320000023</v>
      </c>
      <c r="AI8" s="1">
        <v>6363.7657600000039</v>
      </c>
      <c r="AJ8" s="1">
        <v>5897.4837600000037</v>
      </c>
      <c r="AK8" s="1">
        <v>6400.5299957559682</v>
      </c>
      <c r="AL8" s="1">
        <v>7298.9528915347601</v>
      </c>
      <c r="AM8" s="1">
        <v>7743.1538508845879</v>
      </c>
      <c r="AN8" s="1">
        <v>7431.5179257050313</v>
      </c>
      <c r="AO8" s="1">
        <v>6850.0820934305802</v>
      </c>
      <c r="AP8" s="1">
        <v>6969.546309498066</v>
      </c>
      <c r="AQ8" s="1">
        <v>5426.3213269071739</v>
      </c>
      <c r="AR8" s="1">
        <v>6472</v>
      </c>
      <c r="AS8" s="1">
        <v>7228</v>
      </c>
      <c r="AT8" s="1">
        <v>7854</v>
      </c>
      <c r="AU8" s="1">
        <v>7727</v>
      </c>
      <c r="AV8" s="1">
        <v>8268</v>
      </c>
    </row>
    <row r="9" spans="1:48" x14ac:dyDescent="0.3">
      <c r="A9" s="4">
        <v>410014791</v>
      </c>
      <c r="B9" s="4" t="s">
        <v>68</v>
      </c>
      <c r="C9" s="4" t="str">
        <f>IFERROR(VLOOKUP(Tabela1[[#This Row],[Código]],Cadastro!$A:$J,2,0),"Sem Cadastro")</f>
        <v>ADOÇANTES</v>
      </c>
      <c r="D9" s="4" t="str">
        <f>IFERROR(VLOOKUP(Tabela1[[#This Row],[Código]],Cadastro!$A:$J,3,0),"Sem Cadastro")</f>
        <v>STEVIA</v>
      </c>
      <c r="E9" s="4" t="str">
        <f>IFERROR(VLOOKUP(Tabela1[[#This Row],[Código]],Cadastro!$A:$J,4,0),"Sem Cadastro")</f>
        <v>STEVIA LÍQUIDO</v>
      </c>
      <c r="F9" s="4" t="str">
        <f>IFERROR(VLOOKUP(Tabela1[[#This Row],[Código]],Cadastro!$A:$J,5,0),"Sem Cadastro")</f>
        <v>AA</v>
      </c>
      <c r="G9" s="5" t="s">
        <v>61</v>
      </c>
      <c r="H9" s="1">
        <v>2751.4907395859209</v>
      </c>
      <c r="I9" s="1">
        <v>4747.7538076882265</v>
      </c>
      <c r="J9" s="1">
        <v>4051.9666921490125</v>
      </c>
      <c r="K9" s="1">
        <v>3422</v>
      </c>
      <c r="L9" s="1">
        <v>4711.5528314478279</v>
      </c>
      <c r="M9" s="1">
        <v>4400</v>
      </c>
      <c r="N9" s="1">
        <v>5130</v>
      </c>
      <c r="O9" s="1">
        <v>5000</v>
      </c>
      <c r="P9" s="1">
        <v>5799.9999999999991</v>
      </c>
      <c r="Q9" s="1">
        <v>5329.5238900663517</v>
      </c>
      <c r="R9" s="1">
        <v>5208.1614987563817</v>
      </c>
      <c r="S9" s="1">
        <v>3393</v>
      </c>
      <c r="T9" s="1">
        <v>3500</v>
      </c>
      <c r="U9" s="1">
        <v>4000</v>
      </c>
      <c r="V9" s="1">
        <v>5151.7399999999989</v>
      </c>
      <c r="W9" s="1">
        <v>5000</v>
      </c>
      <c r="X9" s="1">
        <v>4600</v>
      </c>
      <c r="Y9" s="1">
        <v>4200</v>
      </c>
      <c r="Z9" s="1">
        <v>4911</v>
      </c>
      <c r="AA9" s="1">
        <v>4911</v>
      </c>
      <c r="AB9" s="1">
        <v>4500</v>
      </c>
      <c r="AC9" s="1">
        <v>4600</v>
      </c>
      <c r="AD9" s="1">
        <v>4800</v>
      </c>
      <c r="AE9" s="1">
        <v>3500</v>
      </c>
      <c r="AF9" s="1">
        <v>4070</v>
      </c>
      <c r="AG9" s="1">
        <v>4295.6253469999956</v>
      </c>
      <c r="AH9" s="1">
        <v>4444.6687020000036</v>
      </c>
      <c r="AI9" s="1">
        <v>4650.0000000000082</v>
      </c>
      <c r="AJ9" s="1">
        <v>4801.3435316799141</v>
      </c>
      <c r="AK9" s="1">
        <v>5421.7751483247412</v>
      </c>
      <c r="AL9" s="1">
        <v>6168.8323296723156</v>
      </c>
      <c r="AM9" s="1">
        <v>5963.1698526199007</v>
      </c>
      <c r="AN9" s="1">
        <v>5893.9739252823883</v>
      </c>
      <c r="AO9" s="1">
        <v>4966.1316173565037</v>
      </c>
      <c r="AP9" s="1">
        <v>6387.3987756242641</v>
      </c>
      <c r="AQ9" s="1">
        <v>4940.3444241769676</v>
      </c>
      <c r="AR9" s="1">
        <v>4767</v>
      </c>
      <c r="AS9" s="1">
        <v>5316</v>
      </c>
      <c r="AT9" s="1">
        <v>5717</v>
      </c>
      <c r="AU9" s="1">
        <v>6600</v>
      </c>
      <c r="AV9" s="1">
        <v>7000</v>
      </c>
    </row>
    <row r="10" spans="1:48" x14ac:dyDescent="0.3">
      <c r="A10" s="4">
        <v>410250135</v>
      </c>
      <c r="B10" s="4" t="s">
        <v>69</v>
      </c>
      <c r="C10" s="4" t="str">
        <f>IFERROR(VLOOKUP(Tabela1[[#This Row],[Código]],Cadastro!$A:$J,2,0),"Sem Cadastro")</f>
        <v>ALIMENTOS</v>
      </c>
      <c r="D10" s="4" t="str">
        <f>IFERROR(VLOOKUP(Tabela1[[#This Row],[Código]],Cadastro!$A:$J,3,0),"Sem Cadastro")</f>
        <v>SOBREMESAS EM PÓ</v>
      </c>
      <c r="E10" s="4" t="str">
        <f>IFERROR(VLOOKUP(Tabela1[[#This Row],[Código]],Cadastro!$A:$J,4,0),"Sem Cadastro")</f>
        <v>GELATINA</v>
      </c>
      <c r="F10" s="4" t="str">
        <f>IFERROR(VLOOKUP(Tabela1[[#This Row],[Código]],Cadastro!$A:$J,5,0),"Sem Cadastro")</f>
        <v>AA</v>
      </c>
      <c r="G10" s="5" t="s">
        <v>70</v>
      </c>
      <c r="H10" s="1">
        <v>2101.3808679645053</v>
      </c>
      <c r="I10" s="1">
        <v>2591.9269529175099</v>
      </c>
      <c r="J10" s="1">
        <v>2200.3468868714763</v>
      </c>
      <c r="K10" s="1">
        <v>2415</v>
      </c>
      <c r="L10" s="1">
        <v>1303.750251358488</v>
      </c>
      <c r="M10" s="1">
        <v>2230</v>
      </c>
      <c r="N10" s="1">
        <v>3200</v>
      </c>
      <c r="O10" s="1">
        <v>3000</v>
      </c>
      <c r="P10" s="1">
        <v>3500.0000000000005</v>
      </c>
      <c r="Q10" s="1">
        <v>3675.5337172871391</v>
      </c>
      <c r="R10" s="1">
        <v>3038.0942076078895</v>
      </c>
      <c r="S10" s="1">
        <v>2617</v>
      </c>
      <c r="T10" s="1">
        <v>4000</v>
      </c>
      <c r="U10" s="1">
        <v>3400</v>
      </c>
      <c r="V10" s="1">
        <v>3644.1499999999969</v>
      </c>
      <c r="W10" s="1">
        <v>4000</v>
      </c>
      <c r="X10" s="1">
        <v>4000</v>
      </c>
      <c r="Y10" s="1">
        <v>4000</v>
      </c>
      <c r="Z10" s="1">
        <v>4240</v>
      </c>
      <c r="AA10" s="1">
        <v>4240</v>
      </c>
      <c r="AB10" s="1">
        <v>3850</v>
      </c>
      <c r="AC10" s="1">
        <v>3231</v>
      </c>
      <c r="AD10" s="1">
        <v>3000</v>
      </c>
      <c r="AE10" s="1">
        <v>2700</v>
      </c>
      <c r="AF10" s="1">
        <v>3855</v>
      </c>
      <c r="AG10" s="1">
        <v>3591.8080875000005</v>
      </c>
      <c r="AH10" s="1">
        <v>4050</v>
      </c>
      <c r="AI10" s="1">
        <v>5100.0000000000236</v>
      </c>
      <c r="AJ10" s="1">
        <v>6040.3176603426709</v>
      </c>
      <c r="AK10" s="1">
        <v>6297.2956409857161</v>
      </c>
      <c r="AL10" s="1">
        <v>3446.7585337038677</v>
      </c>
      <c r="AM10" s="1">
        <v>5665.6720917421626</v>
      </c>
      <c r="AN10" s="1">
        <v>6235.5344678237016</v>
      </c>
      <c r="AO10" s="1">
        <v>5184.4499227345486</v>
      </c>
      <c r="AP10" s="1">
        <v>5504.7361924536153</v>
      </c>
      <c r="AQ10" s="1">
        <v>5543.1688647014344</v>
      </c>
      <c r="AR10" s="1">
        <v>4925</v>
      </c>
      <c r="AS10" s="1">
        <v>4000</v>
      </c>
      <c r="AT10" s="1">
        <v>6000</v>
      </c>
      <c r="AU10" s="1">
        <v>3787.3550000000005</v>
      </c>
      <c r="AV10" s="1">
        <v>5400</v>
      </c>
    </row>
    <row r="11" spans="1:48" x14ac:dyDescent="0.3">
      <c r="A11" s="4">
        <v>410025615</v>
      </c>
      <c r="B11" s="4" t="s">
        <v>71</v>
      </c>
      <c r="C11" s="4" t="str">
        <f>IFERROR(VLOOKUP(Tabela1[[#This Row],[Código]],Cadastro!$A:$J,2,0),"Sem Cadastro")</f>
        <v>ADOÇANTES</v>
      </c>
      <c r="D11" s="4" t="str">
        <f>IFERROR(VLOOKUP(Tabela1[[#This Row],[Código]],Cadastro!$A:$J,3,0),"Sem Cadastro")</f>
        <v>SUCRALOSE</v>
      </c>
      <c r="E11" s="4" t="str">
        <f>IFERROR(VLOOKUP(Tabela1[[#This Row],[Código]],Cadastro!$A:$J,4,0),"Sem Cadastro")</f>
        <v>SUCRALOSE INSTITUCIONAL</v>
      </c>
      <c r="F11" s="4" t="str">
        <f>IFERROR(VLOOKUP(Tabela1[[#This Row],[Código]],Cadastro!$A:$J,5,0),"Sem Cadastro")</f>
        <v>AB</v>
      </c>
      <c r="G11" s="5" t="s">
        <v>59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3323</v>
      </c>
      <c r="N11" s="1">
        <v>6700</v>
      </c>
      <c r="O11" s="1">
        <v>5500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6000</v>
      </c>
      <c r="W11" s="1">
        <v>6000</v>
      </c>
      <c r="X11" s="1">
        <v>6400</v>
      </c>
      <c r="Y11" s="1">
        <v>5300</v>
      </c>
      <c r="Z11" s="1">
        <v>6550</v>
      </c>
      <c r="AA11" s="1">
        <v>6550</v>
      </c>
      <c r="AB11" s="1">
        <v>4800</v>
      </c>
      <c r="AC11" s="1">
        <v>4896</v>
      </c>
      <c r="AD11" s="1">
        <v>4900</v>
      </c>
      <c r="AE11" s="1">
        <v>4800</v>
      </c>
      <c r="AF11" s="1">
        <v>3748</v>
      </c>
      <c r="AG11" s="1">
        <v>4460.8535944999867</v>
      </c>
      <c r="AH11" s="1">
        <v>4400</v>
      </c>
      <c r="AI11" s="1">
        <v>4099.9999999999918</v>
      </c>
      <c r="AJ11" s="1">
        <v>4296.8383404210554</v>
      </c>
      <c r="AK11" s="1">
        <v>4656.8006562607316</v>
      </c>
      <c r="AL11" s="1">
        <v>4774.9307187577897</v>
      </c>
      <c r="AM11" s="1">
        <v>5600.6800737725453</v>
      </c>
      <c r="AN11" s="1">
        <v>5610.5374906941142</v>
      </c>
      <c r="AO11" s="1">
        <v>7301.7642433852579</v>
      </c>
      <c r="AP11" s="1">
        <v>8352.2804309916355</v>
      </c>
      <c r="AQ11" s="1">
        <v>7507.0300502334694</v>
      </c>
      <c r="AR11" s="1">
        <v>4259</v>
      </c>
      <c r="AS11" s="1">
        <v>4817</v>
      </c>
      <c r="AT11" s="1">
        <v>5608</v>
      </c>
      <c r="AU11" s="1">
        <v>3800</v>
      </c>
      <c r="AV11" s="1">
        <v>5500</v>
      </c>
    </row>
    <row r="12" spans="1:48" x14ac:dyDescent="0.3">
      <c r="A12" s="4">
        <v>400010032</v>
      </c>
      <c r="B12" s="4" t="s">
        <v>72</v>
      </c>
      <c r="C12" s="4" t="str">
        <f>IFERROR(VLOOKUP(Tabela1[[#This Row],[Código]],Cadastro!$A:$J,2,0),"Sem Cadastro")</f>
        <v>ADOÇANTES</v>
      </c>
      <c r="D12" s="4" t="str">
        <f>IFERROR(VLOOKUP(Tabela1[[#This Row],[Código]],Cadastro!$A:$J,3,0),"Sem Cadastro")</f>
        <v>SUCRALOSE</v>
      </c>
      <c r="E12" s="4" t="str">
        <f>IFERROR(VLOOKUP(Tabela1[[#This Row],[Código]],Cadastro!$A:$J,4,0),"Sem Cadastro")</f>
        <v>SUCRALOSE LÍQUIDO</v>
      </c>
      <c r="F12" s="4" t="str">
        <f>IFERROR(VLOOKUP(Tabela1[[#This Row],[Código]],Cadastro!$A:$J,5,0),"Sem Cadastro")</f>
        <v>AA</v>
      </c>
      <c r="G12" s="5" t="s">
        <v>63</v>
      </c>
      <c r="H12" s="1">
        <v>3844.0000000000005</v>
      </c>
      <c r="I12" s="1">
        <v>5824.4749999999995</v>
      </c>
      <c r="J12" s="1">
        <v>6678.0871426757003</v>
      </c>
      <c r="K12" s="1">
        <v>5792</v>
      </c>
      <c r="L12" s="1">
        <v>8358.0419960166437</v>
      </c>
      <c r="M12" s="1">
        <v>4864</v>
      </c>
      <c r="N12" s="1">
        <v>6690</v>
      </c>
      <c r="O12" s="1">
        <v>5500</v>
      </c>
      <c r="P12" s="1">
        <v>5999.9999999999991</v>
      </c>
      <c r="Q12" s="1">
        <v>5600</v>
      </c>
      <c r="R12" s="1">
        <v>5642.1749569860804</v>
      </c>
      <c r="S12" s="1">
        <v>4856</v>
      </c>
      <c r="T12" s="1">
        <v>3500</v>
      </c>
      <c r="U12" s="1">
        <v>3500</v>
      </c>
      <c r="V12" s="1">
        <v>4000</v>
      </c>
      <c r="W12" s="1">
        <v>4295.3166666666657</v>
      </c>
      <c r="X12" s="1">
        <v>4500</v>
      </c>
      <c r="Y12" s="1">
        <v>6550</v>
      </c>
      <c r="Z12" s="1">
        <v>6688</v>
      </c>
      <c r="AA12" s="1">
        <v>6688</v>
      </c>
      <c r="AB12" s="1">
        <v>6800</v>
      </c>
      <c r="AC12" s="1">
        <v>5875</v>
      </c>
      <c r="AD12" s="1">
        <v>5875</v>
      </c>
      <c r="AE12" s="1">
        <v>4000</v>
      </c>
      <c r="AF12" s="1">
        <v>3748</v>
      </c>
      <c r="AG12" s="1">
        <v>4803.133969999998</v>
      </c>
      <c r="AH12" s="1">
        <v>4200</v>
      </c>
      <c r="AI12" s="1">
        <v>3499.9999999999991</v>
      </c>
      <c r="AJ12" s="1">
        <v>1697.0110302253336</v>
      </c>
      <c r="AK12" s="1">
        <v>3613.2024169590236</v>
      </c>
      <c r="AL12" s="1">
        <v>3991.643498412433</v>
      </c>
      <c r="AM12" s="1">
        <v>4219.9203287136488</v>
      </c>
      <c r="AN12" s="1">
        <v>4134.754111758969</v>
      </c>
      <c r="AO12" s="1">
        <v>4229.9692274537811</v>
      </c>
      <c r="AP12" s="1">
        <v>4291.4268951642571</v>
      </c>
      <c r="AQ12" s="1">
        <v>4062.2898455186851</v>
      </c>
      <c r="AR12" s="1">
        <v>3551</v>
      </c>
      <c r="AS12" s="1">
        <v>4160</v>
      </c>
      <c r="AT12" s="1">
        <v>4764</v>
      </c>
      <c r="AU12" s="1">
        <v>4819</v>
      </c>
      <c r="AV12" s="1">
        <v>5200</v>
      </c>
    </row>
    <row r="13" spans="1:48" x14ac:dyDescent="0.3">
      <c r="A13" s="4">
        <v>410026410</v>
      </c>
      <c r="B13" s="4" t="s">
        <v>73</v>
      </c>
      <c r="C13" s="4" t="str">
        <f>IFERROR(VLOOKUP(Tabela1[[#This Row],[Código]],Cadastro!$A:$J,2,0),"Sem Cadastro")</f>
        <v>ADOÇANTES</v>
      </c>
      <c r="D13" s="4" t="str">
        <f>IFERROR(VLOOKUP(Tabela1[[#This Row],[Código]],Cadastro!$A:$J,3,0),"Sem Cadastro")</f>
        <v>STEVIA</v>
      </c>
      <c r="E13" s="4" t="str">
        <f>IFERROR(VLOOKUP(Tabela1[[#This Row],[Código]],Cadastro!$A:$J,4,0),"Sem Cadastro")</f>
        <v>STEVIA PÓ</v>
      </c>
      <c r="F13" s="4" t="str">
        <f>IFERROR(VLOOKUP(Tabela1[[#This Row],[Código]],Cadastro!$A:$J,5,0),"Sem Cadastro")</f>
        <v>AA</v>
      </c>
      <c r="G13" s="5" t="s">
        <v>74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3700</v>
      </c>
      <c r="Q13" s="1">
        <v>3675.5337172871391</v>
      </c>
      <c r="R13" s="1">
        <v>3906.1211240672865</v>
      </c>
      <c r="S13" s="1">
        <v>3142</v>
      </c>
      <c r="T13" s="1">
        <v>2700</v>
      </c>
      <c r="U13" s="1">
        <v>3000</v>
      </c>
      <c r="V13" s="1">
        <v>3800</v>
      </c>
      <c r="W13" s="1">
        <v>3800</v>
      </c>
      <c r="X13" s="1">
        <v>3600</v>
      </c>
      <c r="Y13" s="1">
        <v>3700</v>
      </c>
      <c r="Z13" s="1">
        <v>3958</v>
      </c>
      <c r="AA13" s="1">
        <v>3958</v>
      </c>
      <c r="AB13" s="1">
        <v>3700</v>
      </c>
      <c r="AC13" s="1">
        <v>3826</v>
      </c>
      <c r="AD13" s="1">
        <v>3900</v>
      </c>
      <c r="AE13" s="1">
        <v>2500</v>
      </c>
      <c r="AF13" s="1">
        <v>3213</v>
      </c>
      <c r="AG13" s="1">
        <v>3254.4383699999921</v>
      </c>
      <c r="AH13" s="1">
        <v>3357.0304199999987</v>
      </c>
      <c r="AI13" s="1">
        <v>3400.0000000000073</v>
      </c>
      <c r="AJ13" s="1">
        <v>3296.6230258807018</v>
      </c>
      <c r="AK13" s="1">
        <v>3507.6171430477548</v>
      </c>
      <c r="AL13" s="1">
        <v>3953.6955973901208</v>
      </c>
      <c r="AM13" s="1">
        <v>3979.5558595901675</v>
      </c>
      <c r="AN13" s="1">
        <v>3784.6396790154527</v>
      </c>
      <c r="AO13" s="1">
        <v>4434.7023658700537</v>
      </c>
      <c r="AP13" s="1">
        <v>4514.9012270077837</v>
      </c>
      <c r="AQ13" s="1">
        <v>4073.9741176262846</v>
      </c>
      <c r="AR13" s="1">
        <v>3222</v>
      </c>
      <c r="AS13" s="1">
        <v>3611</v>
      </c>
      <c r="AT13" s="1">
        <v>1211.0999999999999</v>
      </c>
      <c r="AU13" s="1">
        <v>1155.5999999999999</v>
      </c>
      <c r="AV13" s="1">
        <v>3360</v>
      </c>
    </row>
    <row r="14" spans="1:48" x14ac:dyDescent="0.3">
      <c r="A14" s="4">
        <v>410251235</v>
      </c>
      <c r="B14" s="4" t="s">
        <v>75</v>
      </c>
      <c r="C14" s="4" t="str">
        <f>IFERROR(VLOOKUP(Tabela1[[#This Row],[Código]],Cadastro!$A:$J,2,0),"Sem Cadastro")</f>
        <v>ALIMENTOS</v>
      </c>
      <c r="D14" s="4" t="str">
        <f>IFERROR(VLOOKUP(Tabela1[[#This Row],[Código]],Cadastro!$A:$J,3,0),"Sem Cadastro")</f>
        <v>SOBREMESAS EM PÓ</v>
      </c>
      <c r="E14" s="4" t="str">
        <f>IFERROR(VLOOKUP(Tabela1[[#This Row],[Código]],Cadastro!$A:$J,4,0),"Sem Cadastro")</f>
        <v>GELATINA</v>
      </c>
      <c r="F14" s="4" t="str">
        <f>IFERROR(VLOOKUP(Tabela1[[#This Row],[Código]],Cadastro!$A:$J,5,0),"Sem Cadastro")</f>
        <v>AA</v>
      </c>
      <c r="G14" s="5" t="s">
        <v>70</v>
      </c>
      <c r="H14" s="1">
        <v>1463.0409101118826</v>
      </c>
      <c r="I14" s="1">
        <v>2064.9324626922285</v>
      </c>
      <c r="J14" s="1">
        <v>1776.8268952207284</v>
      </c>
      <c r="K14" s="1">
        <v>2430</v>
      </c>
      <c r="L14" s="1">
        <v>1002.8848087372984</v>
      </c>
      <c r="M14" s="1">
        <v>1993</v>
      </c>
      <c r="N14" s="1">
        <v>2200</v>
      </c>
      <c r="O14" s="1">
        <v>2000</v>
      </c>
      <c r="P14" s="1">
        <v>2500.0000000000005</v>
      </c>
      <c r="Q14" s="1">
        <v>2297.2085733044619</v>
      </c>
      <c r="R14" s="1">
        <v>2170.0672911484926</v>
      </c>
      <c r="S14" s="1">
        <v>1949</v>
      </c>
      <c r="T14" s="1">
        <v>2500</v>
      </c>
      <c r="U14" s="1">
        <v>2500</v>
      </c>
      <c r="V14" s="1">
        <v>2675.5699999999983</v>
      </c>
      <c r="W14" s="1">
        <v>2800</v>
      </c>
      <c r="X14" s="1">
        <v>2800</v>
      </c>
      <c r="Y14" s="1">
        <v>2800</v>
      </c>
      <c r="Z14" s="1">
        <v>2872</v>
      </c>
      <c r="AA14" s="1">
        <v>2872</v>
      </c>
      <c r="AB14" s="1">
        <v>2800</v>
      </c>
      <c r="AC14" s="1">
        <v>2230</v>
      </c>
      <c r="AD14" s="1">
        <v>2281</v>
      </c>
      <c r="AE14" s="1">
        <v>2000</v>
      </c>
      <c r="AF14" s="1">
        <v>2678</v>
      </c>
      <c r="AG14" s="1">
        <v>2569.1921199999992</v>
      </c>
      <c r="AH14" s="1">
        <v>2750</v>
      </c>
      <c r="AI14" s="1">
        <v>4000.0000000000091</v>
      </c>
      <c r="AJ14" s="1">
        <v>4857.97546902661</v>
      </c>
      <c r="AK14" s="1">
        <v>4396.975977858674</v>
      </c>
      <c r="AL14" s="1">
        <v>2393.1155942697978</v>
      </c>
      <c r="AM14" s="1">
        <v>3877.3216041933342</v>
      </c>
      <c r="AN14" s="1">
        <v>4399.4045277272826</v>
      </c>
      <c r="AO14" s="1">
        <v>3840.1705319686052</v>
      </c>
      <c r="AP14" s="1">
        <v>4055.3934622426991</v>
      </c>
      <c r="AQ14" s="1">
        <v>3677.0231744638245</v>
      </c>
      <c r="AR14" s="1">
        <v>3586</v>
      </c>
      <c r="AS14" s="1">
        <v>2000</v>
      </c>
      <c r="AT14" s="1">
        <v>3800</v>
      </c>
      <c r="AU14" s="1">
        <v>2745.6000000000004</v>
      </c>
      <c r="AV14" s="1">
        <v>3845</v>
      </c>
    </row>
    <row r="15" spans="1:48" x14ac:dyDescent="0.3">
      <c r="A15" s="4">
        <v>410040357</v>
      </c>
      <c r="B15" s="4" t="s">
        <v>76</v>
      </c>
      <c r="C15" s="4" t="str">
        <f>IFERROR(VLOOKUP(Tabela1[[#This Row],[Código]],Cadastro!$A:$J,2,0),"Sem Cadastro")</f>
        <v>ALIMENTOS</v>
      </c>
      <c r="D15" s="4" t="str">
        <f>IFERROR(VLOOKUP(Tabela1[[#This Row],[Código]],Cadastro!$A:$J,3,0),"Sem Cadastro")</f>
        <v>GELEIAS</v>
      </c>
      <c r="E15" s="4" t="str">
        <f>IFERROR(VLOOKUP(Tabela1[[#This Row],[Código]],Cadastro!$A:$J,4,0),"Sem Cadastro")</f>
        <v>GELEIA DE FRUTAS</v>
      </c>
      <c r="F15" s="4" t="str">
        <f>IFERROR(VLOOKUP(Tabela1[[#This Row],[Código]],Cadastro!$A:$J,5,0),"Sem Cadastro")</f>
        <v>AA</v>
      </c>
      <c r="G15" s="5" t="s">
        <v>66</v>
      </c>
      <c r="H15" s="1">
        <v>1831.0000000000002</v>
      </c>
      <c r="I15" s="1">
        <v>2633.6129252826149</v>
      </c>
      <c r="J15" s="1">
        <v>2419.5285899756673</v>
      </c>
      <c r="K15" s="1">
        <v>2554</v>
      </c>
      <c r="L15" s="1">
        <v>2652.7306075910278</v>
      </c>
      <c r="M15" s="1">
        <v>4061</v>
      </c>
      <c r="N15" s="1">
        <v>4710</v>
      </c>
      <c r="O15" s="1">
        <v>4650</v>
      </c>
      <c r="P15" s="1">
        <v>4601.6044444444433</v>
      </c>
      <c r="Q15" s="1">
        <v>5649.9999999999991</v>
      </c>
      <c r="R15" s="1">
        <v>5460</v>
      </c>
      <c r="S15" s="1">
        <v>4200</v>
      </c>
      <c r="T15" s="1">
        <v>3999.9999999999995</v>
      </c>
      <c r="U15" s="1">
        <v>5000</v>
      </c>
      <c r="V15" s="1">
        <v>5398.159999999998</v>
      </c>
      <c r="W15" s="1">
        <v>5100</v>
      </c>
      <c r="X15" s="1">
        <v>5000</v>
      </c>
      <c r="Y15" s="1">
        <v>4800</v>
      </c>
      <c r="Z15" s="1">
        <v>4749</v>
      </c>
      <c r="AA15" s="1">
        <v>4749</v>
      </c>
      <c r="AB15" s="1">
        <v>4500</v>
      </c>
      <c r="AC15" s="1">
        <v>4787</v>
      </c>
      <c r="AD15" s="1">
        <v>4500</v>
      </c>
      <c r="AE15" s="1">
        <v>3500</v>
      </c>
      <c r="AF15" s="1">
        <v>3480</v>
      </c>
      <c r="AG15" s="1">
        <v>3736.7413874999997</v>
      </c>
      <c r="AH15" s="1">
        <v>4300</v>
      </c>
      <c r="AI15" s="1">
        <v>3800.0000000000091</v>
      </c>
      <c r="AJ15" s="1">
        <v>4053.2045044571669</v>
      </c>
      <c r="AK15" s="1">
        <v>3914.0869898705009</v>
      </c>
      <c r="AL15" s="1">
        <v>3861.9615575737976</v>
      </c>
      <c r="AM15" s="1">
        <v>3508.2499125326199</v>
      </c>
      <c r="AN15" s="1">
        <v>3888.5745564926283</v>
      </c>
      <c r="AO15" s="1">
        <v>4358.9682012337407</v>
      </c>
      <c r="AP15" s="1">
        <v>3782.1415756665601</v>
      </c>
      <c r="AQ15" s="1">
        <v>3394.9446853942186</v>
      </c>
      <c r="AR15" s="1">
        <v>3386</v>
      </c>
      <c r="AS15" s="1">
        <v>3900</v>
      </c>
      <c r="AT15" s="1">
        <v>4500</v>
      </c>
      <c r="AU15" s="1">
        <v>4400</v>
      </c>
      <c r="AV15" s="1">
        <v>4700</v>
      </c>
    </row>
    <row r="16" spans="1:48" x14ac:dyDescent="0.3">
      <c r="A16" s="4">
        <v>410010020</v>
      </c>
      <c r="B16" s="4" t="s">
        <v>77</v>
      </c>
      <c r="C16" s="4" t="str">
        <f>IFERROR(VLOOKUP(Tabela1[[#This Row],[Código]],Cadastro!$A:$J,2,0),"Sem Cadastro")</f>
        <v>ADOÇANTES</v>
      </c>
      <c r="D16" s="4" t="str">
        <f>IFERROR(VLOOKUP(Tabela1[[#This Row],[Código]],Cadastro!$A:$J,3,0),"Sem Cadastro")</f>
        <v>SUCRALOSE</v>
      </c>
      <c r="E16" s="4" t="str">
        <f>IFERROR(VLOOKUP(Tabela1[[#This Row],[Código]],Cadastro!$A:$J,4,0),"Sem Cadastro")</f>
        <v>SUCRALOSE LÍQUIDO</v>
      </c>
      <c r="F16" s="4" t="str">
        <f>IFERROR(VLOOKUP(Tabela1[[#This Row],[Código]],Cadastro!$A:$J,5,0),"Sem Cadastro")</f>
        <v>AA</v>
      </c>
      <c r="G16" s="5" t="s">
        <v>63</v>
      </c>
      <c r="H16" s="1">
        <v>2017.057523208772</v>
      </c>
      <c r="I16" s="1">
        <v>3425.0802011215528</v>
      </c>
      <c r="J16" s="1">
        <v>2567.6712883002683</v>
      </c>
      <c r="K16" s="1">
        <v>2761</v>
      </c>
      <c r="L16" s="1">
        <v>2862.2332441362491</v>
      </c>
      <c r="M16" s="1">
        <v>3509</v>
      </c>
      <c r="N16" s="1">
        <v>3180</v>
      </c>
      <c r="O16" s="1">
        <v>3600</v>
      </c>
      <c r="P16" s="1">
        <v>4000</v>
      </c>
      <c r="Q16" s="1">
        <v>3675.5337172871391</v>
      </c>
      <c r="R16" s="1">
        <v>3645.7130491294674</v>
      </c>
      <c r="S16" s="1">
        <v>2654</v>
      </c>
      <c r="T16" s="1">
        <v>2500.0000000000005</v>
      </c>
      <c r="U16" s="1">
        <v>2800</v>
      </c>
      <c r="V16" s="1">
        <v>3500</v>
      </c>
      <c r="W16" s="1">
        <v>3400</v>
      </c>
      <c r="X16" s="1">
        <v>3300</v>
      </c>
      <c r="Y16" s="1">
        <v>3500</v>
      </c>
      <c r="Z16" s="1">
        <v>3314</v>
      </c>
      <c r="AA16" s="1">
        <v>3314</v>
      </c>
      <c r="AB16" s="1">
        <v>3400</v>
      </c>
      <c r="AC16" s="1">
        <v>3126</v>
      </c>
      <c r="AD16" s="1">
        <v>3322</v>
      </c>
      <c r="AE16" s="1">
        <v>3100</v>
      </c>
      <c r="AF16" s="1">
        <v>2998</v>
      </c>
      <c r="AG16" s="1">
        <v>2911.4189899999992</v>
      </c>
      <c r="AH16" s="1">
        <v>3024.5393400000016</v>
      </c>
      <c r="AI16" s="1">
        <v>3199.9999999999973</v>
      </c>
      <c r="AJ16" s="1">
        <v>3245.2011449104766</v>
      </c>
      <c r="AK16" s="1">
        <v>3624.8841997800619</v>
      </c>
      <c r="AL16" s="1">
        <v>4279.0766408157215</v>
      </c>
      <c r="AM16" s="1">
        <v>4396.894345765445</v>
      </c>
      <c r="AN16" s="1">
        <v>4496.0506708387793</v>
      </c>
      <c r="AO16" s="1">
        <v>3670.1917725333451</v>
      </c>
      <c r="AP16" s="1">
        <v>3323.309934157422</v>
      </c>
      <c r="AQ16" s="1">
        <v>2584.2894911370922</v>
      </c>
      <c r="AR16" s="1">
        <v>3116</v>
      </c>
      <c r="AS16" s="1">
        <v>3468</v>
      </c>
      <c r="AT16" s="1">
        <v>4000</v>
      </c>
      <c r="AU16" s="1">
        <v>3850</v>
      </c>
      <c r="AV16" s="1">
        <v>4150</v>
      </c>
    </row>
    <row r="17" spans="1:48" x14ac:dyDescent="0.3">
      <c r="A17" s="4">
        <v>410025604</v>
      </c>
      <c r="B17" s="4" t="s">
        <v>78</v>
      </c>
      <c r="C17" s="4" t="str">
        <f>IFERROR(VLOOKUP(Tabela1[[#This Row],[Código]],Cadastro!$A:$J,2,0),"Sem Cadastro")</f>
        <v>ADOÇANTES</v>
      </c>
      <c r="D17" s="4" t="str">
        <f>IFERROR(VLOOKUP(Tabela1[[#This Row],[Código]],Cadastro!$A:$J,3,0),"Sem Cadastro")</f>
        <v>SUCRALOSE</v>
      </c>
      <c r="E17" s="4" t="str">
        <f>IFERROR(VLOOKUP(Tabela1[[#This Row],[Código]],Cadastro!$A:$J,4,0),"Sem Cadastro")</f>
        <v>SUCRALOSE PÓ</v>
      </c>
      <c r="F17" s="4" t="str">
        <f>IFERROR(VLOOKUP(Tabela1[[#This Row],[Código]],Cadastro!$A:$J,5,0),"Sem Cadastro")</f>
        <v>AA</v>
      </c>
      <c r="G17" s="5" t="s">
        <v>59</v>
      </c>
      <c r="H17" s="1">
        <v>0</v>
      </c>
      <c r="I17" s="1">
        <v>0</v>
      </c>
      <c r="J17" s="1">
        <v>0</v>
      </c>
      <c r="K17" s="1">
        <v>0</v>
      </c>
      <c r="L17" s="1">
        <v>688.98186360252396</v>
      </c>
      <c r="M17" s="1">
        <v>3900</v>
      </c>
      <c r="N17" s="1">
        <v>3010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2485</v>
      </c>
      <c r="W17" s="1">
        <v>3000</v>
      </c>
      <c r="X17" s="1">
        <v>3200</v>
      </c>
      <c r="Y17" s="1">
        <v>3100</v>
      </c>
      <c r="Z17" s="1">
        <v>3585</v>
      </c>
      <c r="AA17" s="1">
        <v>3585</v>
      </c>
      <c r="AB17" s="1">
        <v>2900</v>
      </c>
      <c r="AC17" s="1">
        <v>3269</v>
      </c>
      <c r="AD17" s="1">
        <v>3100</v>
      </c>
      <c r="AE17" s="1">
        <v>3300</v>
      </c>
      <c r="AF17" s="1">
        <v>2571</v>
      </c>
      <c r="AG17" s="1">
        <v>2696.908712499996</v>
      </c>
      <c r="AH17" s="1">
        <v>2803.1975249999978</v>
      </c>
      <c r="AI17" s="1">
        <v>2753.5419999999963</v>
      </c>
      <c r="AJ17" s="1">
        <v>2660.9799999999946</v>
      </c>
      <c r="AK17" s="1">
        <v>2999.5391448792025</v>
      </c>
      <c r="AL17" s="1">
        <v>3171.09453854392</v>
      </c>
      <c r="AM17" s="1">
        <v>3108.2760635554628</v>
      </c>
      <c r="AN17" s="1">
        <v>3130.0752267767002</v>
      </c>
      <c r="AO17" s="1">
        <v>3760.1464320928881</v>
      </c>
      <c r="AP17" s="1">
        <v>4025.1691104970701</v>
      </c>
      <c r="AQ17" s="1">
        <v>3555.1474502580354</v>
      </c>
      <c r="AR17" s="1">
        <v>2658</v>
      </c>
      <c r="AS17" s="1">
        <v>2960</v>
      </c>
      <c r="AT17" s="1">
        <v>991.5</v>
      </c>
      <c r="AU17" s="1">
        <v>1600</v>
      </c>
      <c r="AV17" s="1">
        <v>1697</v>
      </c>
    </row>
    <row r="18" spans="1:48" x14ac:dyDescent="0.3">
      <c r="A18" s="4">
        <v>410090260</v>
      </c>
      <c r="B18" s="4" t="s">
        <v>79</v>
      </c>
      <c r="C18" s="4" t="str">
        <f>IFERROR(VLOOKUP(Tabela1[[#This Row],[Código]],Cadastro!$A:$J,2,0),"Sem Cadastro")</f>
        <v>ALIMENTOS</v>
      </c>
      <c r="D18" s="4" t="str">
        <f>IFERROR(VLOOKUP(Tabela1[[#This Row],[Código]],Cadastro!$A:$J,3,0),"Sem Cadastro")</f>
        <v>BEBIDAS EM PÓ</v>
      </c>
      <c r="E18" s="4" t="str">
        <f>IFERROR(VLOOKUP(Tabela1[[#This Row],[Código]],Cadastro!$A:$J,4,0),"Sem Cadastro")</f>
        <v>ACHOCOLATADO</v>
      </c>
      <c r="F18" s="4" t="str">
        <f>IFERROR(VLOOKUP(Tabela1[[#This Row],[Código]],Cadastro!$A:$J,5,0),"Sem Cadastro")</f>
        <v>AA</v>
      </c>
      <c r="G18" s="5" t="s">
        <v>80</v>
      </c>
      <c r="H18" s="1">
        <v>3204</v>
      </c>
      <c r="I18" s="1">
        <v>4106.1416666666646</v>
      </c>
      <c r="J18" s="1">
        <v>5241.4235520349785</v>
      </c>
      <c r="K18" s="1">
        <v>4783</v>
      </c>
      <c r="L18" s="1">
        <v>5014.424043686492</v>
      </c>
      <c r="M18" s="1">
        <v>5346</v>
      </c>
      <c r="N18" s="1">
        <v>7357.5</v>
      </c>
      <c r="O18" s="1">
        <v>6000</v>
      </c>
      <c r="P18" s="1">
        <v>6000</v>
      </c>
      <c r="Q18" s="1">
        <v>100.00000000000001</v>
      </c>
      <c r="R18" s="1">
        <v>4774.1480405266839</v>
      </c>
      <c r="S18" s="1">
        <v>3766</v>
      </c>
      <c r="T18" s="1">
        <v>5000</v>
      </c>
      <c r="U18" s="1">
        <v>5000</v>
      </c>
      <c r="V18" s="1">
        <v>6247.1899999999987</v>
      </c>
      <c r="W18" s="1">
        <v>5500</v>
      </c>
      <c r="X18" s="1">
        <v>5500</v>
      </c>
      <c r="Y18" s="1">
        <v>5600</v>
      </c>
      <c r="Z18" s="1">
        <v>5014</v>
      </c>
      <c r="AA18" s="1">
        <v>5014</v>
      </c>
      <c r="AB18" s="1">
        <v>4500</v>
      </c>
      <c r="AC18" s="1">
        <v>4616</v>
      </c>
      <c r="AD18" s="1">
        <v>4400</v>
      </c>
      <c r="AE18" s="1">
        <v>3550</v>
      </c>
      <c r="AF18" s="1">
        <v>3213</v>
      </c>
      <c r="AG18" s="1">
        <v>3452.4260699999936</v>
      </c>
      <c r="AH18" s="1">
        <v>3560.9986199999985</v>
      </c>
      <c r="AI18" s="1">
        <v>3522.9999999999927</v>
      </c>
      <c r="AJ18" s="1">
        <v>3549.9996783833917</v>
      </c>
      <c r="AK18" s="1">
        <v>3678.8531889418809</v>
      </c>
      <c r="AL18" s="1">
        <v>4274.289081526912</v>
      </c>
      <c r="AM18" s="1">
        <v>3418.689926219638</v>
      </c>
      <c r="AN18" s="1">
        <v>3639.72038379164</v>
      </c>
      <c r="AO18" s="1">
        <v>4206.7988461732211</v>
      </c>
      <c r="AP18" s="1">
        <v>3561.0272273129676</v>
      </c>
      <c r="AQ18" s="1">
        <v>3379.9739648446707</v>
      </c>
      <c r="AR18" s="1">
        <v>3310</v>
      </c>
      <c r="AS18" s="1">
        <v>4000</v>
      </c>
      <c r="AT18" s="1">
        <v>4250</v>
      </c>
      <c r="AU18" s="1">
        <v>4145</v>
      </c>
      <c r="AV18" s="1">
        <v>4150</v>
      </c>
    </row>
    <row r="19" spans="1:48" x14ac:dyDescent="0.3">
      <c r="A19" s="4">
        <v>410042957</v>
      </c>
      <c r="B19" s="4" t="s">
        <v>81</v>
      </c>
      <c r="C19" s="4" t="str">
        <f>IFERROR(VLOOKUP(Tabela1[[#This Row],[Código]],Cadastro!$A:$J,2,0),"Sem Cadastro")</f>
        <v>ALIMENTOS</v>
      </c>
      <c r="D19" s="4" t="str">
        <f>IFERROR(VLOOKUP(Tabela1[[#This Row],[Código]],Cadastro!$A:$J,3,0),"Sem Cadastro")</f>
        <v>GELEIAS</v>
      </c>
      <c r="E19" s="4" t="str">
        <f>IFERROR(VLOOKUP(Tabela1[[#This Row],[Código]],Cadastro!$A:$J,4,0),"Sem Cadastro")</f>
        <v>GELEIA DE FRUTAS</v>
      </c>
      <c r="F19" s="4" t="str">
        <f>IFERROR(VLOOKUP(Tabela1[[#This Row],[Código]],Cadastro!$A:$J,5,0),"Sem Cadastro")</f>
        <v>AA</v>
      </c>
      <c r="G19" s="5" t="s">
        <v>66</v>
      </c>
      <c r="H19" s="1">
        <v>2460.8425687047579</v>
      </c>
      <c r="I19" s="1">
        <v>3633.2571639982048</v>
      </c>
      <c r="J19" s="1">
        <v>3643.2660514935587</v>
      </c>
      <c r="K19" s="1">
        <v>4091</v>
      </c>
      <c r="L19" s="1">
        <v>2464.0879750675417</v>
      </c>
      <c r="M19" s="1">
        <v>3200</v>
      </c>
      <c r="N19" s="1">
        <v>4240</v>
      </c>
      <c r="O19" s="1">
        <v>4300</v>
      </c>
      <c r="P19" s="1">
        <v>4362.9144444444446</v>
      </c>
      <c r="Q19" s="1">
        <v>5100</v>
      </c>
      <c r="R19" s="1">
        <v>5200</v>
      </c>
      <c r="S19" s="1">
        <v>4612</v>
      </c>
      <c r="T19" s="1">
        <v>3500.0000000000005</v>
      </c>
      <c r="U19" s="1">
        <v>4099.9999999999991</v>
      </c>
      <c r="V19" s="1">
        <v>5051.9599999999946</v>
      </c>
      <c r="W19" s="1">
        <v>4700</v>
      </c>
      <c r="X19" s="1">
        <v>4900</v>
      </c>
      <c r="Y19" s="1">
        <v>3700</v>
      </c>
      <c r="Z19" s="1">
        <v>3953</v>
      </c>
      <c r="AA19" s="1">
        <v>3953</v>
      </c>
      <c r="AB19" s="1">
        <v>3800</v>
      </c>
      <c r="AC19" s="1">
        <v>3701</v>
      </c>
      <c r="AD19" s="1">
        <v>3400</v>
      </c>
      <c r="AE19" s="1">
        <v>2600</v>
      </c>
      <c r="AF19" s="1">
        <v>2357</v>
      </c>
      <c r="AG19" s="1">
        <v>2832.5425825000029</v>
      </c>
      <c r="AH19" s="1">
        <v>2933.0509449999995</v>
      </c>
      <c r="AI19" s="1">
        <v>2900.000000000005</v>
      </c>
      <c r="AJ19" s="1">
        <v>2938.8042135121132</v>
      </c>
      <c r="AK19" s="1">
        <v>2904.982069044373</v>
      </c>
      <c r="AL19" s="1">
        <v>2915.2249919050846</v>
      </c>
      <c r="AM19" s="1">
        <v>2694.8959121059661</v>
      </c>
      <c r="AN19" s="1">
        <v>3125.91651418427</v>
      </c>
      <c r="AO19" s="1">
        <v>3278.6536862915464</v>
      </c>
      <c r="AP19" s="1">
        <v>3212.6488843230973</v>
      </c>
      <c r="AQ19" s="1">
        <v>3281.7805764004061</v>
      </c>
      <c r="AR19" s="1">
        <v>2614</v>
      </c>
      <c r="AS19" s="1">
        <v>2913</v>
      </c>
      <c r="AT19" s="1">
        <v>3252</v>
      </c>
      <c r="AU19" s="1">
        <v>3130</v>
      </c>
      <c r="AV19" s="1">
        <v>3285</v>
      </c>
    </row>
    <row r="20" spans="1:48" x14ac:dyDescent="0.3">
      <c r="A20" s="4">
        <v>410251735</v>
      </c>
      <c r="B20" s="4" t="s">
        <v>82</v>
      </c>
      <c r="C20" s="4" t="str">
        <f>IFERROR(VLOOKUP(Tabela1[[#This Row],[Código]],Cadastro!$A:$J,2,0),"Sem Cadastro")</f>
        <v>ALIMENTOS</v>
      </c>
      <c r="D20" s="4" t="str">
        <f>IFERROR(VLOOKUP(Tabela1[[#This Row],[Código]],Cadastro!$A:$J,3,0),"Sem Cadastro")</f>
        <v>SOBREMESAS EM PÓ</v>
      </c>
      <c r="E20" s="4" t="str">
        <f>IFERROR(VLOOKUP(Tabela1[[#This Row],[Código]],Cadastro!$A:$J,4,0),"Sem Cadastro")</f>
        <v>GELATINA</v>
      </c>
      <c r="F20" s="4" t="str">
        <f>IFERROR(VLOOKUP(Tabela1[[#This Row],[Código]],Cadastro!$A:$J,5,0),"Sem Cadastro")</f>
        <v>BB</v>
      </c>
      <c r="G20" s="5" t="s">
        <v>70</v>
      </c>
      <c r="H20" s="1">
        <v>1416.9861816090931</v>
      </c>
      <c r="I20" s="1">
        <v>1734.1629110873089</v>
      </c>
      <c r="J20" s="1">
        <v>1511.7445262225231</v>
      </c>
      <c r="K20" s="1">
        <v>1958</v>
      </c>
      <c r="L20" s="1">
        <v>902.5963278635686</v>
      </c>
      <c r="M20" s="1">
        <v>1667</v>
      </c>
      <c r="N20" s="1">
        <v>2150</v>
      </c>
      <c r="O20" s="1">
        <v>2000</v>
      </c>
      <c r="P20" s="1">
        <v>2499.9999999999995</v>
      </c>
      <c r="Q20" s="1">
        <v>2021.5435445079265</v>
      </c>
      <c r="R20" s="1">
        <v>1909.6592162106733</v>
      </c>
      <c r="S20" s="1">
        <v>1791</v>
      </c>
      <c r="T20" s="1">
        <v>2500</v>
      </c>
      <c r="U20" s="1">
        <v>2500</v>
      </c>
      <c r="V20" s="1">
        <v>2400</v>
      </c>
      <c r="W20" s="1">
        <v>2400</v>
      </c>
      <c r="X20" s="1">
        <v>2400</v>
      </c>
      <c r="Y20" s="1">
        <v>2500</v>
      </c>
      <c r="Z20" s="1">
        <v>2613</v>
      </c>
      <c r="AA20" s="1">
        <v>2613</v>
      </c>
      <c r="AB20" s="1">
        <v>2000</v>
      </c>
      <c r="AC20" s="1">
        <v>1763</v>
      </c>
      <c r="AD20" s="1">
        <v>1900</v>
      </c>
      <c r="AE20" s="1">
        <v>1600</v>
      </c>
      <c r="AF20" s="1">
        <v>2142</v>
      </c>
      <c r="AG20" s="1">
        <v>2216.9071175000026</v>
      </c>
      <c r="AH20" s="1">
        <v>2500</v>
      </c>
      <c r="AI20" s="1">
        <v>3300.0000000000132</v>
      </c>
      <c r="AJ20" s="1">
        <v>4042.7072638624813</v>
      </c>
      <c r="AK20" s="1">
        <v>3768.0539491144141</v>
      </c>
      <c r="AL20" s="1">
        <v>1973.4855811692446</v>
      </c>
      <c r="AM20" s="1">
        <v>3265.1194104522788</v>
      </c>
      <c r="AN20" s="1">
        <v>3715.7894707358196</v>
      </c>
      <c r="AO20" s="1">
        <v>2864.8918352439109</v>
      </c>
      <c r="AP20" s="1">
        <v>3358.1250819073034</v>
      </c>
      <c r="AQ20" s="1">
        <v>3433.177659373096</v>
      </c>
      <c r="AR20" s="1">
        <v>2884</v>
      </c>
      <c r="AS20" s="1">
        <v>2000</v>
      </c>
      <c r="AT20" s="1">
        <v>3000</v>
      </c>
      <c r="AU20" s="1">
        <v>2211.4950000000003</v>
      </c>
      <c r="AV20" s="1">
        <v>3000</v>
      </c>
    </row>
    <row r="21" spans="1:48" x14ac:dyDescent="0.3">
      <c r="A21" s="4">
        <v>410025626</v>
      </c>
      <c r="B21" s="4" t="s">
        <v>83</v>
      </c>
      <c r="C21" s="4" t="str">
        <f>IFERROR(VLOOKUP(Tabela1[[#This Row],[Código]],Cadastro!$A:$J,2,0),"Sem Cadastro")</f>
        <v>ADOÇANTES</v>
      </c>
      <c r="D21" s="4" t="str">
        <f>IFERROR(VLOOKUP(Tabela1[[#This Row],[Código]],Cadastro!$A:$J,3,0),"Sem Cadastro")</f>
        <v>SUCRALOSE</v>
      </c>
      <c r="E21" s="4" t="str">
        <f>IFERROR(VLOOKUP(Tabela1[[#This Row],[Código]],Cadastro!$A:$J,4,0),"Sem Cadastro")</f>
        <v>SUCRALOSE PÓ</v>
      </c>
      <c r="F21" s="4" t="str">
        <f>IFERROR(VLOOKUP(Tabela1[[#This Row],[Código]],Cadastro!$A:$J,5,0),"Sem Cadastro")</f>
        <v>AA</v>
      </c>
      <c r="G21" s="5" t="s">
        <v>59</v>
      </c>
      <c r="H21" s="1">
        <v>0</v>
      </c>
      <c r="I21" s="1">
        <v>0</v>
      </c>
      <c r="J21" s="1">
        <v>0</v>
      </c>
      <c r="K21" s="1">
        <v>0</v>
      </c>
      <c r="L21" s="1">
        <v>3476.9212594211504</v>
      </c>
      <c r="M21" s="1">
        <v>4974</v>
      </c>
      <c r="N21" s="1">
        <v>5045</v>
      </c>
      <c r="O21" s="1">
        <v>2197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2379</v>
      </c>
      <c r="X21" s="1">
        <v>2800</v>
      </c>
      <c r="Y21" s="1">
        <v>3500</v>
      </c>
      <c r="Z21" s="1">
        <v>3814</v>
      </c>
      <c r="AA21" s="1">
        <v>3814</v>
      </c>
      <c r="AB21" s="1">
        <v>3200</v>
      </c>
      <c r="AC21" s="1">
        <v>4271</v>
      </c>
      <c r="AD21" s="1">
        <v>3500</v>
      </c>
      <c r="AE21" s="1">
        <v>3000</v>
      </c>
      <c r="AF21" s="1">
        <v>2142</v>
      </c>
      <c r="AG21" s="1">
        <v>2650.3232799999992</v>
      </c>
      <c r="AH21" s="1">
        <v>2734.7284800000002</v>
      </c>
      <c r="AI21" s="1">
        <v>2250.0000000000018</v>
      </c>
      <c r="AJ21" s="1">
        <v>1159.0243634278459</v>
      </c>
      <c r="AK21" s="1">
        <v>2167.9214501754136</v>
      </c>
      <c r="AL21" s="1">
        <v>2493.5889391690898</v>
      </c>
      <c r="AM21" s="1">
        <v>2486.9135454284533</v>
      </c>
      <c r="AN21" s="1">
        <v>2513.5860905199443</v>
      </c>
      <c r="AO21" s="1">
        <v>2740.6103818149895</v>
      </c>
      <c r="AP21" s="1">
        <v>3026.1080303805638</v>
      </c>
      <c r="AQ21" s="1">
        <v>2955.6756760060198</v>
      </c>
      <c r="AR21" s="1">
        <v>2258</v>
      </c>
      <c r="AS21" s="1">
        <v>2664</v>
      </c>
      <c r="AT21" s="1">
        <v>3200</v>
      </c>
      <c r="AU21" s="1">
        <v>3400</v>
      </c>
      <c r="AV21" s="1">
        <v>3450</v>
      </c>
    </row>
    <row r="22" spans="1:48" x14ac:dyDescent="0.3">
      <c r="A22" s="4">
        <v>410121207</v>
      </c>
      <c r="B22" s="4" t="s">
        <v>84</v>
      </c>
      <c r="C22" s="4" t="str">
        <f>IFERROR(VLOOKUP(Tabela1[[#This Row],[Código]],Cadastro!$A:$J,2,0),"Sem Cadastro")</f>
        <v>ALIMENTOS</v>
      </c>
      <c r="D22" s="4" t="str">
        <f>IFERROR(VLOOKUP(Tabela1[[#This Row],[Código]],Cadastro!$A:$J,3,0),"Sem Cadastro")</f>
        <v>WAFER</v>
      </c>
      <c r="E22" s="4" t="str">
        <f>IFERROR(VLOOKUP(Tabela1[[#This Row],[Código]],Cadastro!$A:$J,4,0),"Sem Cadastro")</f>
        <v>WAFER</v>
      </c>
      <c r="F22" s="4" t="str">
        <f>IFERROR(VLOOKUP(Tabela1[[#This Row],[Código]],Cadastro!$A:$J,5,0),"Sem Cadastro")</f>
        <v>BB</v>
      </c>
      <c r="G22" s="5" t="s">
        <v>85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1780</v>
      </c>
      <c r="AA22" s="1">
        <v>600</v>
      </c>
      <c r="AB22" s="1">
        <v>600</v>
      </c>
      <c r="AC22" s="1">
        <v>588</v>
      </c>
      <c r="AD22" s="1">
        <v>500</v>
      </c>
      <c r="AE22" s="1">
        <v>400</v>
      </c>
      <c r="AF22" s="1">
        <v>804</v>
      </c>
      <c r="AG22" s="1">
        <v>727.31402692477513</v>
      </c>
      <c r="AH22" s="1">
        <v>900</v>
      </c>
      <c r="AI22" s="1">
        <v>999.99999999999977</v>
      </c>
      <c r="AJ22" s="1">
        <v>1505.2829375719666</v>
      </c>
      <c r="AK22" s="1">
        <v>1533.0301683383273</v>
      </c>
      <c r="AL22" s="1">
        <v>1311.6852038854811</v>
      </c>
      <c r="AM22" s="1">
        <v>1543.7834964998394</v>
      </c>
      <c r="AN22" s="1">
        <v>1481.0751986565024</v>
      </c>
      <c r="AO22" s="1">
        <v>1288.5309610798347</v>
      </c>
      <c r="AP22" s="1">
        <v>2243.002148953195</v>
      </c>
      <c r="AQ22" s="1">
        <v>1840.0714542210656</v>
      </c>
      <c r="AR22" s="1">
        <v>1329</v>
      </c>
      <c r="AS22" s="1">
        <v>2300</v>
      </c>
      <c r="AT22" s="1">
        <v>2800</v>
      </c>
      <c r="AU22" s="1">
        <v>2800</v>
      </c>
      <c r="AV22" s="1">
        <v>3000</v>
      </c>
    </row>
    <row r="23" spans="1:48" x14ac:dyDescent="0.3">
      <c r="A23" s="4">
        <v>410041457</v>
      </c>
      <c r="B23" s="4" t="s">
        <v>86</v>
      </c>
      <c r="C23" s="4" t="str">
        <f>IFERROR(VLOOKUP(Tabela1[[#This Row],[Código]],Cadastro!$A:$J,2,0),"Sem Cadastro")</f>
        <v>ALIMENTOS</v>
      </c>
      <c r="D23" s="4" t="str">
        <f>IFERROR(VLOOKUP(Tabela1[[#This Row],[Código]],Cadastro!$A:$J,3,0),"Sem Cadastro")</f>
        <v>GELEIAS</v>
      </c>
      <c r="E23" s="4" t="str">
        <f>IFERROR(VLOOKUP(Tabela1[[#This Row],[Código]],Cadastro!$A:$J,4,0),"Sem Cadastro")</f>
        <v>GELEIA DE FRUTAS</v>
      </c>
      <c r="F23" s="4" t="str">
        <f>IFERROR(VLOOKUP(Tabela1[[#This Row],[Código]],Cadastro!$A:$J,5,0),"Sem Cadastro")</f>
        <v>AA</v>
      </c>
      <c r="G23" s="5" t="s">
        <v>66</v>
      </c>
      <c r="H23" s="1">
        <v>1500</v>
      </c>
      <c r="I23" s="1">
        <v>4030.5428015438124</v>
      </c>
      <c r="J23" s="1">
        <v>3542.6773401262762</v>
      </c>
      <c r="K23" s="1">
        <v>3673</v>
      </c>
      <c r="L23" s="1">
        <v>2853.10699237674</v>
      </c>
      <c r="M23" s="1">
        <v>4455</v>
      </c>
      <c r="N23" s="1">
        <v>4520</v>
      </c>
      <c r="O23" s="1">
        <v>4750</v>
      </c>
      <c r="P23" s="1">
        <v>4730.4700000000012</v>
      </c>
      <c r="Q23" s="1">
        <v>5450</v>
      </c>
      <c r="R23" s="1">
        <v>5500</v>
      </c>
      <c r="S23" s="1">
        <v>4128</v>
      </c>
      <c r="T23" s="1">
        <v>4000.0000000000005</v>
      </c>
      <c r="U23" s="1">
        <v>4300</v>
      </c>
      <c r="V23" s="1">
        <v>5224.7000000000016</v>
      </c>
      <c r="W23" s="1">
        <v>4500</v>
      </c>
      <c r="X23" s="1">
        <v>4500</v>
      </c>
      <c r="Y23" s="1">
        <v>3800</v>
      </c>
      <c r="Z23" s="1">
        <v>3815</v>
      </c>
      <c r="AA23" s="1">
        <v>3815</v>
      </c>
      <c r="AB23" s="1">
        <v>3400</v>
      </c>
      <c r="AC23" s="1">
        <v>3013</v>
      </c>
      <c r="AD23" s="1">
        <v>3000</v>
      </c>
      <c r="AE23" s="1">
        <v>2700</v>
      </c>
      <c r="AF23" s="1">
        <v>2357</v>
      </c>
      <c r="AG23" s="1">
        <v>2775.5841600000049</v>
      </c>
      <c r="AH23" s="1">
        <v>2700</v>
      </c>
      <c r="AI23" s="1">
        <v>2500.0000000000109</v>
      </c>
      <c r="AJ23" s="1">
        <v>2463.6996240570265</v>
      </c>
      <c r="AK23" s="1">
        <v>2375.4897734610422</v>
      </c>
      <c r="AL23" s="1">
        <v>2489.6363188402511</v>
      </c>
      <c r="AM23" s="1">
        <v>2254.7853333810144</v>
      </c>
      <c r="AN23" s="1">
        <v>2527.0937658742687</v>
      </c>
      <c r="AO23" s="1">
        <v>2765.4915984038303</v>
      </c>
      <c r="AP23" s="1">
        <v>2610.0872313272512</v>
      </c>
      <c r="AQ23" s="1">
        <v>2394.5963327429772</v>
      </c>
      <c r="AR23" s="1">
        <v>2298</v>
      </c>
      <c r="AS23" s="1">
        <v>2562</v>
      </c>
      <c r="AT23" s="1">
        <v>2840</v>
      </c>
      <c r="AU23" s="1">
        <v>2703</v>
      </c>
      <c r="AV23" s="1">
        <v>2900</v>
      </c>
    </row>
    <row r="24" spans="1:48" x14ac:dyDescent="0.3">
      <c r="A24" s="4">
        <v>410040257</v>
      </c>
      <c r="B24" s="4" t="s">
        <v>87</v>
      </c>
      <c r="C24" s="4" t="str">
        <f>IFERROR(VLOOKUP(Tabela1[[#This Row],[Código]],Cadastro!$A:$J,2,0),"Sem Cadastro")</f>
        <v>ALIMENTOS</v>
      </c>
      <c r="D24" s="4" t="str">
        <f>IFERROR(VLOOKUP(Tabela1[[#This Row],[Código]],Cadastro!$A:$J,3,0),"Sem Cadastro")</f>
        <v>GELEIAS</v>
      </c>
      <c r="E24" s="4" t="str">
        <f>IFERROR(VLOOKUP(Tabela1[[#This Row],[Código]],Cadastro!$A:$J,4,0),"Sem Cadastro")</f>
        <v>GELEIAS ESPECIAIS</v>
      </c>
      <c r="F24" s="4" t="str">
        <f>IFERROR(VLOOKUP(Tabela1[[#This Row],[Código]],Cadastro!$A:$J,5,0),"Sem Cadastro")</f>
        <v>AA</v>
      </c>
      <c r="G24" s="5" t="s">
        <v>66</v>
      </c>
      <c r="H24" s="1">
        <v>911.65391363830304</v>
      </c>
      <c r="I24" s="1">
        <v>1651.4460545734316</v>
      </c>
      <c r="J24" s="1">
        <v>1585.0648849637321</v>
      </c>
      <c r="K24" s="1">
        <v>1610</v>
      </c>
      <c r="L24" s="1">
        <v>1697.883981192246</v>
      </c>
      <c r="M24" s="1">
        <v>1918</v>
      </c>
      <c r="N24" s="1">
        <v>2000</v>
      </c>
      <c r="O24" s="1">
        <v>2175</v>
      </c>
      <c r="P24" s="1">
        <v>1801.0000000000002</v>
      </c>
      <c r="Q24" s="1">
        <v>2550</v>
      </c>
      <c r="R24" s="1">
        <v>2550</v>
      </c>
      <c r="S24" s="1">
        <v>1992</v>
      </c>
      <c r="T24" s="1">
        <v>2000</v>
      </c>
      <c r="U24" s="1">
        <v>2199.9999999999995</v>
      </c>
      <c r="V24" s="1">
        <v>2405.4599999999982</v>
      </c>
      <c r="W24" s="1">
        <v>2600</v>
      </c>
      <c r="X24" s="1">
        <v>2500</v>
      </c>
      <c r="Y24" s="1">
        <v>2200</v>
      </c>
      <c r="Z24" s="1">
        <v>2319</v>
      </c>
      <c r="AA24" s="1">
        <v>2319</v>
      </c>
      <c r="AB24" s="1">
        <v>1900</v>
      </c>
      <c r="AC24" s="1">
        <v>2065</v>
      </c>
      <c r="AD24" s="1">
        <v>2000</v>
      </c>
      <c r="AE24" s="1">
        <v>1600</v>
      </c>
      <c r="AF24" s="1">
        <v>1553</v>
      </c>
      <c r="AG24" s="1">
        <v>1804.4718100000034</v>
      </c>
      <c r="AH24" s="1">
        <v>2100</v>
      </c>
      <c r="AI24" s="1">
        <v>1899.9999999999998</v>
      </c>
      <c r="AJ24" s="1">
        <v>1889.9647823450605</v>
      </c>
      <c r="AK24" s="1">
        <v>2040.1663583937739</v>
      </c>
      <c r="AL24" s="1">
        <v>2139.4554443205448</v>
      </c>
      <c r="AM24" s="1">
        <v>1859.4789118472786</v>
      </c>
      <c r="AN24" s="1">
        <v>2061.8980572467585</v>
      </c>
      <c r="AO24" s="1">
        <v>1781.1171456778254</v>
      </c>
      <c r="AP24" s="1">
        <v>2056.5966180430796</v>
      </c>
      <c r="AQ24" s="1">
        <v>1766.7887498877944</v>
      </c>
      <c r="AR24" s="1">
        <v>1507</v>
      </c>
      <c r="AS24" s="1">
        <v>1682</v>
      </c>
      <c r="AT24" s="1">
        <v>1853</v>
      </c>
      <c r="AU24" s="1">
        <v>1760</v>
      </c>
      <c r="AV24" s="1">
        <v>1881</v>
      </c>
    </row>
    <row r="25" spans="1:48" x14ac:dyDescent="0.3">
      <c r="A25" s="4">
        <v>410121107</v>
      </c>
      <c r="B25" s="4" t="s">
        <v>88</v>
      </c>
      <c r="C25" s="4" t="str">
        <f>IFERROR(VLOOKUP(Tabela1[[#This Row],[Código]],Cadastro!$A:$J,2,0),"Sem Cadastro")</f>
        <v>ALIMENTOS</v>
      </c>
      <c r="D25" s="4" t="str">
        <f>IFERROR(VLOOKUP(Tabela1[[#This Row],[Código]],Cadastro!$A:$J,3,0),"Sem Cadastro")</f>
        <v>WAFER</v>
      </c>
      <c r="E25" s="4" t="str">
        <f>IFERROR(VLOOKUP(Tabela1[[#This Row],[Código]],Cadastro!$A:$J,4,0),"Sem Cadastro")</f>
        <v>WAFER</v>
      </c>
      <c r="F25" s="4" t="str">
        <f>IFERROR(VLOOKUP(Tabela1[[#This Row],[Código]],Cadastro!$A:$J,5,0),"Sem Cadastro")</f>
        <v>BB</v>
      </c>
      <c r="G25" s="5" t="s">
        <v>85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1780.0000000000002</v>
      </c>
      <c r="AA25" s="1">
        <v>600</v>
      </c>
      <c r="AB25" s="1">
        <v>600</v>
      </c>
      <c r="AC25" s="1">
        <v>588</v>
      </c>
      <c r="AD25" s="1">
        <v>400</v>
      </c>
      <c r="AE25" s="1">
        <v>300</v>
      </c>
      <c r="AF25" s="1">
        <v>590</v>
      </c>
      <c r="AG25" s="1">
        <v>649.25791228361493</v>
      </c>
      <c r="AH25" s="1">
        <v>750</v>
      </c>
      <c r="AI25" s="1">
        <v>749.99999999999955</v>
      </c>
      <c r="AJ25" s="1">
        <v>1198.8816095566963</v>
      </c>
      <c r="AK25" s="1">
        <v>1166.5482089039124</v>
      </c>
      <c r="AL25" s="1">
        <v>1018.4387351775908</v>
      </c>
      <c r="AM25" s="1">
        <v>1179.6909998676958</v>
      </c>
      <c r="AN25" s="1">
        <v>1144.7421715081543</v>
      </c>
      <c r="AO25" s="1">
        <v>1153.1030307633962</v>
      </c>
      <c r="AP25" s="1">
        <v>1289.2984450842239</v>
      </c>
      <c r="AQ25" s="1">
        <v>907.07702326240008</v>
      </c>
      <c r="AR25" s="1">
        <v>930</v>
      </c>
      <c r="AS25" s="1">
        <v>1100</v>
      </c>
      <c r="AT25" s="1">
        <v>1500</v>
      </c>
      <c r="AU25" s="1">
        <v>1500</v>
      </c>
      <c r="AV25" s="1">
        <v>2000</v>
      </c>
    </row>
    <row r="26" spans="1:48" x14ac:dyDescent="0.3">
      <c r="A26" s="4">
        <v>410251835</v>
      </c>
      <c r="B26" s="4" t="s">
        <v>89</v>
      </c>
      <c r="C26" s="4" t="str">
        <f>IFERROR(VLOOKUP(Tabela1[[#This Row],[Código]],Cadastro!$A:$J,2,0),"Sem Cadastro")</f>
        <v>ALIMENTOS</v>
      </c>
      <c r="D26" s="4" t="str">
        <f>IFERROR(VLOOKUP(Tabela1[[#This Row],[Código]],Cadastro!$A:$J,3,0),"Sem Cadastro")</f>
        <v>SOBREMESAS EM PÓ</v>
      </c>
      <c r="E26" s="4" t="str">
        <f>IFERROR(VLOOKUP(Tabela1[[#This Row],[Código]],Cadastro!$A:$J,4,0),"Sem Cadastro")</f>
        <v>GELATINA</v>
      </c>
      <c r="F26" s="4" t="str">
        <f>IFERROR(VLOOKUP(Tabela1[[#This Row],[Código]],Cadastro!$A:$J,5,0),"Sem Cadastro")</f>
        <v>BB</v>
      </c>
      <c r="G26" s="5" t="s">
        <v>70</v>
      </c>
      <c r="H26" s="1">
        <v>685.4657265531514</v>
      </c>
      <c r="I26" s="1">
        <v>991.54815975153747</v>
      </c>
      <c r="J26" s="1">
        <v>729.06689961766438</v>
      </c>
      <c r="K26" s="1">
        <v>1053</v>
      </c>
      <c r="L26" s="1">
        <v>750.15783693549906</v>
      </c>
      <c r="M26" s="1">
        <v>1197</v>
      </c>
      <c r="N26" s="1">
        <v>1200</v>
      </c>
      <c r="O26" s="1">
        <v>1200</v>
      </c>
      <c r="P26" s="1">
        <v>1500.0000000000002</v>
      </c>
      <c r="Q26" s="1">
        <v>1286.4368010504986</v>
      </c>
      <c r="R26" s="1">
        <v>1215.2376830431558</v>
      </c>
      <c r="S26" s="1">
        <v>1029</v>
      </c>
      <c r="T26" s="1">
        <v>1400</v>
      </c>
      <c r="U26" s="1">
        <v>1400</v>
      </c>
      <c r="V26" s="1">
        <v>1450.15</v>
      </c>
      <c r="W26" s="1">
        <v>1400</v>
      </c>
      <c r="X26" s="1">
        <v>1487.9060206439931</v>
      </c>
      <c r="Y26" s="1">
        <v>1400</v>
      </c>
      <c r="Z26" s="1">
        <v>1521</v>
      </c>
      <c r="AA26" s="1">
        <v>1521</v>
      </c>
      <c r="AB26" s="1">
        <v>1400</v>
      </c>
      <c r="AC26" s="1">
        <v>1273</v>
      </c>
      <c r="AD26" s="1">
        <v>1300</v>
      </c>
      <c r="AE26" s="1">
        <v>1000</v>
      </c>
      <c r="AF26" s="1">
        <v>1714</v>
      </c>
      <c r="AG26" s="1">
        <v>1306.552045000001</v>
      </c>
      <c r="AH26" s="1">
        <v>1400</v>
      </c>
      <c r="AI26" s="1">
        <v>2199.9999999999945</v>
      </c>
      <c r="AJ26" s="1">
        <v>2705.7639528911086</v>
      </c>
      <c r="AK26" s="1">
        <v>2488.6031948482255</v>
      </c>
      <c r="AL26" s="1">
        <v>1365.3110735580522</v>
      </c>
      <c r="AM26" s="1">
        <v>2287.684591613162</v>
      </c>
      <c r="AN26" s="1">
        <v>2464.8885494842266</v>
      </c>
      <c r="AO26" s="1">
        <v>1405.2705009454025</v>
      </c>
      <c r="AP26" s="1">
        <v>1383.1392198675258</v>
      </c>
      <c r="AQ26" s="1">
        <v>1388.7650123243945</v>
      </c>
      <c r="AR26" s="1">
        <v>1877</v>
      </c>
      <c r="AS26" s="1">
        <v>1000</v>
      </c>
      <c r="AT26" s="1">
        <v>2000</v>
      </c>
      <c r="AU26" s="1">
        <v>1502.93</v>
      </c>
      <c r="AV26" s="1">
        <v>2100</v>
      </c>
    </row>
    <row r="27" spans="1:48" x14ac:dyDescent="0.3">
      <c r="A27" s="4">
        <v>410043157</v>
      </c>
      <c r="B27" s="4" t="s">
        <v>90</v>
      </c>
      <c r="C27" s="4" t="str">
        <f>IFERROR(VLOOKUP(Tabela1[[#This Row],[Código]],Cadastro!$A:$J,2,0),"Sem Cadastro")</f>
        <v>ALIMENTOS</v>
      </c>
      <c r="D27" s="4" t="str">
        <f>IFERROR(VLOOKUP(Tabela1[[#This Row],[Código]],Cadastro!$A:$J,3,0),"Sem Cadastro")</f>
        <v>GELEIAS</v>
      </c>
      <c r="E27" s="4" t="str">
        <f>IFERROR(VLOOKUP(Tabela1[[#This Row],[Código]],Cadastro!$A:$J,4,0),"Sem Cadastro")</f>
        <v>GELEIA DE FRUTAS</v>
      </c>
      <c r="F27" s="4" t="str">
        <f>IFERROR(VLOOKUP(Tabela1[[#This Row],[Código]],Cadastro!$A:$J,5,0),"Sem Cadastro")</f>
        <v>AA</v>
      </c>
      <c r="G27" s="5" t="s">
        <v>66</v>
      </c>
      <c r="H27" s="1">
        <v>1276.1078130540711</v>
      </c>
      <c r="I27" s="1">
        <v>1944.3549395345642</v>
      </c>
      <c r="J27" s="1">
        <v>1388.3010668199181</v>
      </c>
      <c r="K27" s="1">
        <v>1621</v>
      </c>
      <c r="L27" s="1">
        <v>1332.8339108118694</v>
      </c>
      <c r="M27" s="1">
        <v>1752</v>
      </c>
      <c r="N27" s="1">
        <v>2240</v>
      </c>
      <c r="O27" s="1">
        <v>2100</v>
      </c>
      <c r="P27" s="1">
        <v>2096.3655555555556</v>
      </c>
      <c r="Q27" s="1">
        <v>2700</v>
      </c>
      <c r="R27" s="1">
        <v>2650</v>
      </c>
      <c r="S27" s="1">
        <v>2085</v>
      </c>
      <c r="T27" s="1">
        <v>2000</v>
      </c>
      <c r="U27" s="1">
        <v>2300</v>
      </c>
      <c r="V27" s="1">
        <v>2500</v>
      </c>
      <c r="W27" s="1">
        <v>2500</v>
      </c>
      <c r="X27" s="1">
        <v>2700</v>
      </c>
      <c r="Y27" s="1">
        <v>2300</v>
      </c>
      <c r="Z27" s="1">
        <v>2437</v>
      </c>
      <c r="AA27" s="1">
        <v>2437</v>
      </c>
      <c r="AB27" s="1">
        <v>1900</v>
      </c>
      <c r="AC27" s="1">
        <v>2251</v>
      </c>
      <c r="AD27" s="1">
        <v>2100</v>
      </c>
      <c r="AE27" s="1">
        <v>1900</v>
      </c>
      <c r="AF27" s="1">
        <v>1499</v>
      </c>
      <c r="AG27" s="1">
        <v>1710.7654150000021</v>
      </c>
      <c r="AH27" s="1">
        <v>1800</v>
      </c>
      <c r="AI27" s="1">
        <v>1699.9999999999991</v>
      </c>
      <c r="AJ27" s="1">
        <v>1702.3492333199511</v>
      </c>
      <c r="AK27" s="1">
        <v>1784.6725821545551</v>
      </c>
      <c r="AL27" s="1">
        <v>1763.8869089557202</v>
      </c>
      <c r="AM27" s="1">
        <v>1542.0339778071584</v>
      </c>
      <c r="AN27" s="1">
        <v>1840.0774176148898</v>
      </c>
      <c r="AO27" s="1">
        <v>1890.2134106745775</v>
      </c>
      <c r="AP27" s="1">
        <v>1941.7676596197589</v>
      </c>
      <c r="AQ27" s="1">
        <v>1681.5906499437033</v>
      </c>
      <c r="AR27" s="1">
        <v>1566</v>
      </c>
      <c r="AS27" s="1">
        <v>1600</v>
      </c>
      <c r="AT27" s="1">
        <v>1700</v>
      </c>
      <c r="AU27" s="1">
        <v>1700</v>
      </c>
      <c r="AV27" s="1">
        <v>1800</v>
      </c>
    </row>
    <row r="28" spans="1:48" x14ac:dyDescent="0.3">
      <c r="A28" s="4">
        <v>410121307</v>
      </c>
      <c r="B28" s="4" t="s">
        <v>91</v>
      </c>
      <c r="C28" s="4" t="str">
        <f>IFERROR(VLOOKUP(Tabela1[[#This Row],[Código]],Cadastro!$A:$J,2,0),"Sem Cadastro")</f>
        <v>ALIMENTOS</v>
      </c>
      <c r="D28" s="4" t="str">
        <f>IFERROR(VLOOKUP(Tabela1[[#This Row],[Código]],Cadastro!$A:$J,3,0),"Sem Cadastro")</f>
        <v>WAFER</v>
      </c>
      <c r="E28" s="4" t="str">
        <f>IFERROR(VLOOKUP(Tabela1[[#This Row],[Código]],Cadastro!$A:$J,4,0),"Sem Cadastro")</f>
        <v>WAFER</v>
      </c>
      <c r="F28" s="4" t="str">
        <f>IFERROR(VLOOKUP(Tabela1[[#This Row],[Código]],Cadastro!$A:$J,5,0),"Sem Cadastro")</f>
        <v>BB</v>
      </c>
      <c r="G28" s="5" t="s">
        <v>85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1780</v>
      </c>
      <c r="AA28" s="1">
        <v>600</v>
      </c>
      <c r="AB28" s="1">
        <v>600</v>
      </c>
      <c r="AC28" s="1">
        <v>588</v>
      </c>
      <c r="AD28" s="1">
        <v>500</v>
      </c>
      <c r="AE28" s="1">
        <v>300</v>
      </c>
      <c r="AF28" s="1">
        <v>483</v>
      </c>
      <c r="AG28" s="1">
        <v>708.19485651009074</v>
      </c>
      <c r="AH28" s="1">
        <v>800</v>
      </c>
      <c r="AI28" s="1">
        <v>849.99999999999909</v>
      </c>
      <c r="AJ28" s="1">
        <v>1267.0334464814619</v>
      </c>
      <c r="AK28" s="1">
        <v>1166.5482089039124</v>
      </c>
      <c r="AL28" s="1">
        <v>1001.7847780592815</v>
      </c>
      <c r="AM28" s="1">
        <v>1182.988375257311</v>
      </c>
      <c r="AN28" s="1">
        <v>1143.2661262259674</v>
      </c>
      <c r="AO28" s="1">
        <v>1078.2650361357687</v>
      </c>
      <c r="AP28" s="1">
        <v>1429.8070714059263</v>
      </c>
      <c r="AQ28" s="1">
        <v>1218.5848289320404</v>
      </c>
      <c r="AR28" s="1">
        <v>962</v>
      </c>
      <c r="AS28" s="1">
        <v>1100</v>
      </c>
      <c r="AT28" s="1">
        <v>1500</v>
      </c>
      <c r="AU28" s="1">
        <v>1500</v>
      </c>
      <c r="AV28" s="1">
        <v>2000</v>
      </c>
    </row>
    <row r="29" spans="1:48" x14ac:dyDescent="0.3">
      <c r="A29" s="4">
        <v>410250935</v>
      </c>
      <c r="B29" s="4" t="s">
        <v>92</v>
      </c>
      <c r="C29" s="4" t="str">
        <f>IFERROR(VLOOKUP(Tabela1[[#This Row],[Código]],Cadastro!$A:$J,2,0),"Sem Cadastro")</f>
        <v>ALIMENTOS</v>
      </c>
      <c r="D29" s="4" t="str">
        <f>IFERROR(VLOOKUP(Tabela1[[#This Row],[Código]],Cadastro!$A:$J,3,0),"Sem Cadastro")</f>
        <v>SOBREMESAS EM PÓ</v>
      </c>
      <c r="E29" s="4" t="str">
        <f>IFERROR(VLOOKUP(Tabela1[[#This Row],[Código]],Cadastro!$A:$J,4,0),"Sem Cadastro")</f>
        <v>GELATINA</v>
      </c>
      <c r="F29" s="4" t="str">
        <f>IFERROR(VLOOKUP(Tabela1[[#This Row],[Código]],Cadastro!$A:$J,5,0),"Sem Cadastro")</f>
        <v>BB</v>
      </c>
      <c r="G29" s="5" t="s">
        <v>70</v>
      </c>
      <c r="H29" s="1">
        <v>845.05071601630698</v>
      </c>
      <c r="I29" s="1">
        <v>1035.4920518301788</v>
      </c>
      <c r="J29" s="1">
        <v>713.97998708594548</v>
      </c>
      <c r="K29" s="1">
        <v>1083</v>
      </c>
      <c r="L29" s="1">
        <v>788.26745966751662</v>
      </c>
      <c r="M29" s="1">
        <v>1315</v>
      </c>
      <c r="N29" s="1">
        <v>1100</v>
      </c>
      <c r="O29" s="1">
        <v>1200</v>
      </c>
      <c r="P29" s="1">
        <v>1500</v>
      </c>
      <c r="Q29" s="1">
        <v>1470.2134869148556</v>
      </c>
      <c r="R29" s="1">
        <v>1302.0403746890954</v>
      </c>
      <c r="S29" s="1">
        <v>895</v>
      </c>
      <c r="T29" s="1">
        <v>1200</v>
      </c>
      <c r="U29" s="1">
        <v>1100</v>
      </c>
      <c r="V29" s="1">
        <v>1466.8299999999997</v>
      </c>
      <c r="W29" s="1">
        <v>1400</v>
      </c>
      <c r="X29" s="1">
        <v>1456.0574519156485</v>
      </c>
      <c r="Y29" s="1">
        <v>1300</v>
      </c>
      <c r="Z29" s="1">
        <v>1382</v>
      </c>
      <c r="AA29" s="1">
        <v>1382</v>
      </c>
      <c r="AB29" s="1">
        <v>1400</v>
      </c>
      <c r="AC29" s="1">
        <v>985</v>
      </c>
      <c r="AD29" s="1">
        <v>1200</v>
      </c>
      <c r="AE29" s="1">
        <v>1000</v>
      </c>
      <c r="AF29" s="1">
        <v>2035</v>
      </c>
      <c r="AG29" s="1">
        <v>1177.8304850000002</v>
      </c>
      <c r="AH29" s="1">
        <v>1250</v>
      </c>
      <c r="AI29" s="1">
        <v>2099.9999999999932</v>
      </c>
      <c r="AJ29" s="1">
        <v>2644.9648062791634</v>
      </c>
      <c r="AK29" s="1">
        <v>2406.8931732851265</v>
      </c>
      <c r="AL29" s="1">
        <v>1341.8847018128938</v>
      </c>
      <c r="AM29" s="1">
        <v>2238.8827094441322</v>
      </c>
      <c r="AN29" s="1">
        <v>2459.5076859749961</v>
      </c>
      <c r="AO29" s="1">
        <v>1239.1680742765607</v>
      </c>
      <c r="AP29" s="1">
        <v>1825.0107096090303</v>
      </c>
      <c r="AQ29" s="1">
        <v>1370.6299866927664</v>
      </c>
      <c r="AR29" s="1">
        <v>1684</v>
      </c>
      <c r="AS29" s="1">
        <v>800</v>
      </c>
      <c r="AT29" s="1">
        <v>2000</v>
      </c>
      <c r="AU29" s="1">
        <v>1353.4950000000001</v>
      </c>
      <c r="AV29" s="1">
        <v>1900</v>
      </c>
    </row>
    <row r="30" spans="1:48" x14ac:dyDescent="0.3">
      <c r="A30" s="4">
        <v>410041357</v>
      </c>
      <c r="B30" s="4" t="s">
        <v>93</v>
      </c>
      <c r="C30" s="4" t="str">
        <f>IFERROR(VLOOKUP(Tabela1[[#This Row],[Código]],Cadastro!$A:$J,2,0),"Sem Cadastro")</f>
        <v>ALIMENTOS</v>
      </c>
      <c r="D30" s="4" t="str">
        <f>IFERROR(VLOOKUP(Tabela1[[#This Row],[Código]],Cadastro!$A:$J,3,0),"Sem Cadastro")</f>
        <v>GELEIAS</v>
      </c>
      <c r="E30" s="4" t="str">
        <f>IFERROR(VLOOKUP(Tabela1[[#This Row],[Código]],Cadastro!$A:$J,4,0),"Sem Cadastro")</f>
        <v>GELEIA DE FRUTAS</v>
      </c>
      <c r="F30" s="4" t="str">
        <f>IFERROR(VLOOKUP(Tabela1[[#This Row],[Código]],Cadastro!$A:$J,5,0),"Sem Cadastro")</f>
        <v>AA</v>
      </c>
      <c r="G30" s="5" t="s">
        <v>66</v>
      </c>
      <c r="H30" s="1">
        <v>1458.853927860838</v>
      </c>
      <c r="I30" s="1">
        <v>2227.6572932381519</v>
      </c>
      <c r="J30" s="1">
        <v>1790.1748487102905</v>
      </c>
      <c r="K30" s="1">
        <v>1943</v>
      </c>
      <c r="L30" s="1">
        <v>1731.9820646893143</v>
      </c>
      <c r="M30" s="1">
        <v>1759</v>
      </c>
      <c r="N30" s="1">
        <v>2600</v>
      </c>
      <c r="O30" s="1">
        <v>2375</v>
      </c>
      <c r="P30" s="1">
        <v>2368.2411111111119</v>
      </c>
      <c r="Q30" s="1">
        <v>3000</v>
      </c>
      <c r="R30" s="1">
        <v>3000</v>
      </c>
      <c r="S30" s="1">
        <v>2293</v>
      </c>
      <c r="T30" s="1">
        <v>2300</v>
      </c>
      <c r="U30" s="1">
        <v>2600.0000000000005</v>
      </c>
      <c r="V30" s="1">
        <v>2910.939999999996</v>
      </c>
      <c r="W30" s="1">
        <v>2700</v>
      </c>
      <c r="X30" s="1">
        <v>2700</v>
      </c>
      <c r="Y30" s="1">
        <v>2200</v>
      </c>
      <c r="Z30" s="1">
        <v>2212</v>
      </c>
      <c r="AA30" s="1">
        <v>2212</v>
      </c>
      <c r="AB30" s="1">
        <v>2000</v>
      </c>
      <c r="AC30" s="1">
        <v>2448</v>
      </c>
      <c r="AD30" s="1">
        <v>2200</v>
      </c>
      <c r="AE30" s="1">
        <v>1900</v>
      </c>
      <c r="AF30" s="1">
        <v>1821</v>
      </c>
      <c r="AG30" s="1">
        <v>1776.5904125000004</v>
      </c>
      <c r="AH30" s="1">
        <v>1843.4697249999972</v>
      </c>
      <c r="AI30" s="1">
        <v>1499.9999999999964</v>
      </c>
      <c r="AJ30" s="1">
        <v>1448.3904499456285</v>
      </c>
      <c r="AK30" s="1">
        <v>1582.7590980211278</v>
      </c>
      <c r="AL30" s="1">
        <v>1585.8658287032151</v>
      </c>
      <c r="AM30" s="1">
        <v>1410.5263045360505</v>
      </c>
      <c r="AN30" s="1">
        <v>1596.6469200969441</v>
      </c>
      <c r="AO30" s="1">
        <v>1726.1597862403737</v>
      </c>
      <c r="AP30" s="1">
        <v>1851.2453226639436</v>
      </c>
      <c r="AQ30" s="1">
        <v>1693.3408485301882</v>
      </c>
      <c r="AR30" s="1">
        <v>1617</v>
      </c>
      <c r="AS30" s="1">
        <v>1795</v>
      </c>
      <c r="AT30" s="1">
        <v>1993</v>
      </c>
      <c r="AU30" s="1">
        <v>1850</v>
      </c>
      <c r="AV30" s="1">
        <v>1900</v>
      </c>
    </row>
    <row r="31" spans="1:48" x14ac:dyDescent="0.3">
      <c r="A31" s="4">
        <v>410080024</v>
      </c>
      <c r="B31" s="4" t="s">
        <v>94</v>
      </c>
      <c r="C31" s="4" t="str">
        <f>IFERROR(VLOOKUP(Tabela1[[#This Row],[Código]],Cadastro!$A:$J,2,0),"Sem Cadastro")</f>
        <v>ADOÇANTES</v>
      </c>
      <c r="D31" s="4" t="str">
        <f>IFERROR(VLOOKUP(Tabela1[[#This Row],[Código]],Cadastro!$A:$J,3,0),"Sem Cadastro")</f>
        <v>SUCRALOSE</v>
      </c>
      <c r="E31" s="4" t="str">
        <f>IFERROR(VLOOKUP(Tabela1[[#This Row],[Código]],Cadastro!$A:$J,4,0),"Sem Cadastro")</f>
        <v>SUCRALOSE CULINÁRIO</v>
      </c>
      <c r="F31" s="4" t="str">
        <f>IFERROR(VLOOKUP(Tabela1[[#This Row],[Código]],Cadastro!$A:$J,5,0),"Sem Cadastro")</f>
        <v>AA</v>
      </c>
      <c r="G31" s="5" t="s">
        <v>95</v>
      </c>
      <c r="H31" s="1">
        <v>1370.9314531063028</v>
      </c>
      <c r="I31" s="1">
        <v>2584.4729479157581</v>
      </c>
      <c r="J31" s="1">
        <v>2338.3979765927884</v>
      </c>
      <c r="K31" s="1">
        <v>1387</v>
      </c>
      <c r="L31" s="1">
        <v>2937.4496047915472</v>
      </c>
      <c r="M31" s="1">
        <v>1800</v>
      </c>
      <c r="N31" s="1">
        <v>2000</v>
      </c>
      <c r="O31" s="1">
        <v>2100</v>
      </c>
      <c r="P31" s="1">
        <v>241.99999999999994</v>
      </c>
      <c r="Q31" s="1">
        <v>2389.0969162366405</v>
      </c>
      <c r="R31" s="1">
        <v>2185.6917756447615</v>
      </c>
      <c r="S31" s="1">
        <v>1491</v>
      </c>
      <c r="T31" s="1">
        <v>1349.9999999999998</v>
      </c>
      <c r="U31" s="1">
        <v>1575</v>
      </c>
      <c r="V31" s="1">
        <v>2046.9500000000005</v>
      </c>
      <c r="W31" s="1">
        <v>2000</v>
      </c>
      <c r="X31" s="1">
        <v>2000</v>
      </c>
      <c r="Y31" s="1">
        <v>2000</v>
      </c>
      <c r="Z31" s="1">
        <v>1969</v>
      </c>
      <c r="AA31" s="1">
        <v>1969</v>
      </c>
      <c r="AB31" s="1">
        <v>2300</v>
      </c>
      <c r="AC31" s="1">
        <v>2338</v>
      </c>
      <c r="AD31" s="1">
        <v>2500</v>
      </c>
      <c r="AE31" s="1">
        <v>2200</v>
      </c>
      <c r="AF31" s="1">
        <v>1714</v>
      </c>
      <c r="AG31" s="1">
        <v>1700.9427699999987</v>
      </c>
      <c r="AH31" s="1">
        <v>1619.1208199999983</v>
      </c>
      <c r="AI31" s="1">
        <v>1900.0000000000014</v>
      </c>
      <c r="AJ31" s="1">
        <v>2009.3260329594123</v>
      </c>
      <c r="AK31" s="1">
        <v>2201.6472994899868</v>
      </c>
      <c r="AL31" s="1">
        <v>2437.7089809217991</v>
      </c>
      <c r="AM31" s="1">
        <v>2606.0039550013685</v>
      </c>
      <c r="AN31" s="1">
        <v>2649.6014303514894</v>
      </c>
      <c r="AO31" s="1">
        <v>2089.8911544173325</v>
      </c>
      <c r="AP31" s="1">
        <v>2185.3404606636627</v>
      </c>
      <c r="AQ31" s="1">
        <v>2243.2702830798871</v>
      </c>
      <c r="AR31" s="1">
        <v>1688</v>
      </c>
      <c r="AS31" s="1">
        <v>1883</v>
      </c>
      <c r="AT31" s="1">
        <v>2170</v>
      </c>
      <c r="AU31" s="1">
        <v>2100</v>
      </c>
      <c r="AV31" s="1">
        <v>2100</v>
      </c>
    </row>
    <row r="32" spans="1:48" x14ac:dyDescent="0.3">
      <c r="A32" s="4">
        <v>410015592</v>
      </c>
      <c r="B32" s="4" t="s">
        <v>96</v>
      </c>
      <c r="C32" s="4" t="str">
        <f>IFERROR(VLOOKUP(Tabela1[[#This Row],[Código]],Cadastro!$A:$J,2,0),"Sem Cadastro")</f>
        <v>ADOÇANTES</v>
      </c>
      <c r="D32" s="4" t="str">
        <f>IFERROR(VLOOKUP(Tabela1[[#This Row],[Código]],Cadastro!$A:$J,3,0),"Sem Cadastro")</f>
        <v>XILITOL</v>
      </c>
      <c r="E32" s="4" t="str">
        <f>IFERROR(VLOOKUP(Tabela1[[#This Row],[Código]],Cadastro!$A:$J,4,0),"Sem Cadastro")</f>
        <v>XILITOL LÍQUIDO</v>
      </c>
      <c r="F32" s="4" t="str">
        <f>IFERROR(VLOOKUP(Tabela1[[#This Row],[Código]],Cadastro!$A:$J,5,0),"Sem Cadastro")</f>
        <v>AA</v>
      </c>
      <c r="G32" s="5" t="s">
        <v>97</v>
      </c>
      <c r="H32" s="1">
        <v>731.52045505594128</v>
      </c>
      <c r="I32" s="1">
        <v>1145.7582347513594</v>
      </c>
      <c r="J32" s="1">
        <v>1224.984005595782</v>
      </c>
      <c r="K32" s="1">
        <v>1100</v>
      </c>
      <c r="L32" s="1">
        <v>928.67133289073831</v>
      </c>
      <c r="M32" s="1">
        <v>1255</v>
      </c>
      <c r="N32" s="1">
        <v>1200</v>
      </c>
      <c r="O32" s="1">
        <v>1600</v>
      </c>
      <c r="P32" s="1">
        <v>1650</v>
      </c>
      <c r="Q32" s="1">
        <v>1653.9901727792126</v>
      </c>
      <c r="R32" s="1">
        <v>1388.8430663350352</v>
      </c>
      <c r="S32" s="1">
        <v>1199</v>
      </c>
      <c r="T32" s="1">
        <v>1200</v>
      </c>
      <c r="U32" s="1">
        <v>1200</v>
      </c>
      <c r="V32" s="1">
        <v>1500</v>
      </c>
      <c r="W32" s="1">
        <v>1600</v>
      </c>
      <c r="X32" s="1">
        <v>1600</v>
      </c>
      <c r="Y32" s="1">
        <v>1400</v>
      </c>
      <c r="Z32" s="1">
        <v>1572</v>
      </c>
      <c r="AA32" s="1">
        <v>1572</v>
      </c>
      <c r="AB32" s="1">
        <v>1300</v>
      </c>
      <c r="AC32" s="1">
        <v>1193</v>
      </c>
      <c r="AD32" s="1">
        <v>1300</v>
      </c>
      <c r="AE32" s="1">
        <v>1250</v>
      </c>
      <c r="AF32" s="1">
        <v>1050</v>
      </c>
      <c r="AG32" s="1">
        <v>1165.6445350000008</v>
      </c>
      <c r="AH32" s="1">
        <v>1198.5983100000005</v>
      </c>
      <c r="AI32" s="1">
        <v>1499.9999999999986</v>
      </c>
      <c r="AJ32" s="1">
        <v>1525.4267610715851</v>
      </c>
      <c r="AK32" s="1">
        <v>1552.5761095086254</v>
      </c>
      <c r="AL32" s="1">
        <v>2100.272028690626</v>
      </c>
      <c r="AM32" s="1">
        <v>1802.5354593685076</v>
      </c>
      <c r="AN32" s="1">
        <v>1819.6643683313698</v>
      </c>
      <c r="AO32" s="1">
        <v>2194.0366512117894</v>
      </c>
      <c r="AP32" s="1">
        <v>2042.0428724133226</v>
      </c>
      <c r="AQ32" s="1">
        <v>1757.9002770141005</v>
      </c>
      <c r="AR32" s="1">
        <v>1559</v>
      </c>
      <c r="AS32" s="1">
        <v>1530</v>
      </c>
      <c r="AT32" s="1">
        <v>1650</v>
      </c>
      <c r="AU32" s="1">
        <v>1700</v>
      </c>
      <c r="AV32" s="1">
        <v>2000</v>
      </c>
    </row>
    <row r="33" spans="1:48" x14ac:dyDescent="0.3">
      <c r="A33" s="4">
        <v>415026424</v>
      </c>
      <c r="B33" s="4" t="s">
        <v>98</v>
      </c>
      <c r="C33" s="4" t="str">
        <f>IFERROR(VLOOKUP(Tabela1[[#This Row],[Código]],Cadastro!$A:$J,2,0),"Sem Cadastro")</f>
        <v>ADOÇANTES</v>
      </c>
      <c r="D33" s="4" t="str">
        <f>IFERROR(VLOOKUP(Tabela1[[#This Row],[Código]],Cadastro!$A:$J,3,0),"Sem Cadastro")</f>
        <v>STEVIA</v>
      </c>
      <c r="E33" s="4" t="str">
        <f>IFERROR(VLOOKUP(Tabela1[[#This Row],[Código]],Cadastro!$A:$J,4,0),"Sem Cadastro")</f>
        <v>STEVIA PÓ</v>
      </c>
      <c r="F33" s="4" t="str">
        <f>IFERROR(VLOOKUP(Tabela1[[#This Row],[Código]],Cadastro!$A:$J,5,0),"Sem Cadastro")</f>
        <v>BB</v>
      </c>
      <c r="G33" s="5" t="s">
        <v>74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1300</v>
      </c>
      <c r="Q33" s="1">
        <v>1200</v>
      </c>
      <c r="R33" s="1">
        <v>1128.4349913972162</v>
      </c>
      <c r="S33" s="1">
        <v>832</v>
      </c>
      <c r="T33" s="1">
        <v>800</v>
      </c>
      <c r="U33" s="1">
        <v>1000</v>
      </c>
      <c r="V33" s="1">
        <v>1100</v>
      </c>
      <c r="W33" s="1">
        <v>1100</v>
      </c>
      <c r="X33" s="1">
        <v>1100</v>
      </c>
      <c r="Y33" s="1">
        <v>1100</v>
      </c>
      <c r="Z33" s="1">
        <v>1197</v>
      </c>
      <c r="AA33" s="1">
        <v>1197</v>
      </c>
      <c r="AB33" s="1">
        <v>1500</v>
      </c>
      <c r="AC33" s="1">
        <v>1383</v>
      </c>
      <c r="AD33" s="1">
        <v>1400</v>
      </c>
      <c r="AE33" s="1">
        <v>900</v>
      </c>
      <c r="AF33" s="1">
        <v>1340</v>
      </c>
      <c r="AG33" s="1">
        <v>1140.45271</v>
      </c>
      <c r="AH33" s="1">
        <v>1176.7728599999998</v>
      </c>
      <c r="AI33" s="1">
        <v>1600</v>
      </c>
      <c r="AJ33" s="1">
        <v>1259.2194856023441</v>
      </c>
      <c r="AK33" s="1">
        <v>1299.9471111029402</v>
      </c>
      <c r="AL33" s="1">
        <v>1687.1874652525644</v>
      </c>
      <c r="AM33" s="1">
        <v>1679.3958537770177</v>
      </c>
      <c r="AN33" s="1">
        <v>1639.5453211968822</v>
      </c>
      <c r="AO33" s="1">
        <v>1652.3044673330189</v>
      </c>
      <c r="AP33" s="1">
        <v>1590.7010439436922</v>
      </c>
      <c r="AQ33" s="1">
        <v>1364.5057714326956</v>
      </c>
      <c r="AR33" s="1">
        <v>1499</v>
      </c>
      <c r="AS33" s="1">
        <v>1677</v>
      </c>
      <c r="AT33" s="1">
        <v>1838</v>
      </c>
      <c r="AU33" s="1">
        <v>1850</v>
      </c>
      <c r="AV33" s="1">
        <v>1961</v>
      </c>
    </row>
    <row r="34" spans="1:48" x14ac:dyDescent="0.3">
      <c r="A34" s="4">
        <v>410313464</v>
      </c>
      <c r="B34" s="4" t="s">
        <v>99</v>
      </c>
      <c r="C34" s="4" t="str">
        <f>IFERROR(VLOOKUP(Tabela1[[#This Row],[Código]],Cadastro!$A:$J,2,0),"Sem Cadastro")</f>
        <v>ALIMENTOS</v>
      </c>
      <c r="D34" s="4" t="str">
        <f>IFERROR(VLOOKUP(Tabela1[[#This Row],[Código]],Cadastro!$A:$J,3,0),"Sem Cadastro")</f>
        <v>CHOCOLATES</v>
      </c>
      <c r="E34" s="4" t="str">
        <f>IFERROR(VLOOKUP(Tabela1[[#This Row],[Código]],Cadastro!$A:$J,4,0),"Sem Cadastro")</f>
        <v>IMPULSO</v>
      </c>
      <c r="F34" s="4" t="str">
        <f>IFERROR(VLOOKUP(Tabela1[[#This Row],[Código]],Cadastro!$A:$J,5,0),"Sem Cadastro")</f>
        <v>AA</v>
      </c>
      <c r="G34" s="5" t="s">
        <v>100</v>
      </c>
      <c r="H34" s="1">
        <v>1820.8308544170204</v>
      </c>
      <c r="I34" s="1">
        <v>2822.9841352741305</v>
      </c>
      <c r="J34" s="1">
        <v>2546.2048624002837</v>
      </c>
      <c r="K34" s="1">
        <v>2243</v>
      </c>
      <c r="L34" s="1">
        <v>2113.8003690717787</v>
      </c>
      <c r="M34" s="1">
        <v>1912</v>
      </c>
      <c r="N34" s="1">
        <v>2300</v>
      </c>
      <c r="O34" s="1">
        <v>2000</v>
      </c>
      <c r="P34" s="1">
        <v>2200</v>
      </c>
      <c r="Q34" s="1">
        <v>1854</v>
      </c>
      <c r="R34" s="1">
        <v>2170.0672911484926</v>
      </c>
      <c r="S34" s="1">
        <v>1995</v>
      </c>
      <c r="T34" s="1">
        <v>2000</v>
      </c>
      <c r="U34" s="1">
        <v>2500</v>
      </c>
      <c r="V34" s="1">
        <v>2500</v>
      </c>
      <c r="W34" s="1">
        <v>2500</v>
      </c>
      <c r="X34" s="1">
        <v>2200</v>
      </c>
      <c r="Y34" s="1">
        <v>1800</v>
      </c>
      <c r="Z34" s="1">
        <v>2041</v>
      </c>
      <c r="AA34" s="1">
        <v>2041</v>
      </c>
      <c r="AB34" s="1">
        <v>1600</v>
      </c>
      <c r="AC34" s="1">
        <v>1284</v>
      </c>
      <c r="AD34" s="1">
        <v>1375</v>
      </c>
      <c r="AE34" s="1">
        <v>1000</v>
      </c>
      <c r="AF34" s="1">
        <v>1286</v>
      </c>
      <c r="AG34" s="1">
        <v>1490.0661774580274</v>
      </c>
      <c r="AH34" s="1">
        <v>1557.1431435000009</v>
      </c>
      <c r="AI34" s="1">
        <v>1419.9999999999968</v>
      </c>
      <c r="AJ34" s="1">
        <v>1403.8999815558982</v>
      </c>
      <c r="AK34" s="1">
        <v>1620.2904073516042</v>
      </c>
      <c r="AL34" s="1">
        <v>1441.2455965238983</v>
      </c>
      <c r="AM34" s="1">
        <v>1446.0357668232161</v>
      </c>
      <c r="AN34" s="1">
        <v>1658.4340202524736</v>
      </c>
      <c r="AO34" s="1">
        <v>1561.9520290138692</v>
      </c>
      <c r="AP34" s="1">
        <v>1520.1406327834754</v>
      </c>
      <c r="AQ34" s="1">
        <v>1048.9651925727069</v>
      </c>
      <c r="AR34" s="1">
        <v>1225</v>
      </c>
      <c r="AS34" s="1">
        <v>1500</v>
      </c>
      <c r="AT34" s="1">
        <v>1500</v>
      </c>
      <c r="AU34" s="1">
        <v>1560</v>
      </c>
      <c r="AV34" s="1">
        <v>1620</v>
      </c>
    </row>
    <row r="35" spans="1:48" x14ac:dyDescent="0.3">
      <c r="A35" s="4">
        <v>410436125</v>
      </c>
      <c r="B35" s="4" t="s">
        <v>101</v>
      </c>
      <c r="C35" s="4" t="str">
        <f>IFERROR(VLOOKUP(Tabela1[[#This Row],[Código]],Cadastro!$A:$J,2,0),"Sem Cadastro")</f>
        <v>ALIMENTOS</v>
      </c>
      <c r="D35" s="4" t="str">
        <f>IFERROR(VLOOKUP(Tabela1[[#This Row],[Código]],Cadastro!$A:$J,3,0),"Sem Cadastro")</f>
        <v>OUTROS</v>
      </c>
      <c r="E35" s="4" t="str">
        <f>IFERROR(VLOOKUP(Tabela1[[#This Row],[Código]],Cadastro!$A:$J,4,0),"Sem Cadastro")</f>
        <v>PIPOCA</v>
      </c>
      <c r="F35" s="4" t="str">
        <f>IFERROR(VLOOKUP(Tabela1[[#This Row],[Código]],Cadastro!$A:$J,5,0),"Sem Cadastro")</f>
        <v>BC</v>
      </c>
      <c r="G35" s="5" t="s">
        <v>102</v>
      </c>
      <c r="H35" s="1">
        <v>1099.0000000000002</v>
      </c>
      <c r="I35" s="1">
        <v>1660.0261637906747</v>
      </c>
      <c r="J35" s="1">
        <v>1499.9184206300381</v>
      </c>
      <c r="K35" s="1">
        <v>1666</v>
      </c>
      <c r="L35" s="1">
        <v>1303.750251358488</v>
      </c>
      <c r="M35" s="1">
        <v>1195</v>
      </c>
      <c r="N35" s="1">
        <v>1113.3333333333333</v>
      </c>
      <c r="O35" s="1">
        <v>1000</v>
      </c>
      <c r="P35" s="1">
        <v>1200</v>
      </c>
      <c r="Q35" s="1">
        <v>1200.0000000000002</v>
      </c>
      <c r="R35" s="1">
        <v>1258.6390288661257</v>
      </c>
      <c r="S35" s="1">
        <v>0</v>
      </c>
      <c r="T35" s="1">
        <v>1200</v>
      </c>
      <c r="U35" s="1">
        <v>1200</v>
      </c>
      <c r="V35" s="1">
        <v>2150</v>
      </c>
      <c r="W35" s="1">
        <v>1450</v>
      </c>
      <c r="X35" s="1">
        <v>1300</v>
      </c>
      <c r="Y35" s="1">
        <v>1300</v>
      </c>
      <c r="Z35" s="1">
        <v>1663</v>
      </c>
      <c r="AA35" s="1">
        <v>1663</v>
      </c>
      <c r="AB35" s="1">
        <v>1300</v>
      </c>
      <c r="AC35" s="1">
        <v>1274</v>
      </c>
      <c r="AD35" s="1">
        <v>1200</v>
      </c>
      <c r="AE35" s="1">
        <v>980</v>
      </c>
      <c r="AF35" s="1">
        <v>965</v>
      </c>
      <c r="AG35" s="1">
        <v>1122.7332975000004</v>
      </c>
      <c r="AH35" s="1">
        <v>950</v>
      </c>
      <c r="AI35" s="1">
        <v>999.99999999999977</v>
      </c>
      <c r="AJ35" s="1">
        <v>897.77147373144192</v>
      </c>
      <c r="AK35" s="1">
        <v>886.03284991741418</v>
      </c>
      <c r="AL35" s="1">
        <v>931.70482295316765</v>
      </c>
      <c r="AM35" s="1">
        <v>851.9642552322216</v>
      </c>
      <c r="AN35" s="1">
        <v>903.92130590337911</v>
      </c>
      <c r="AO35" s="1">
        <v>1307.3033909377564</v>
      </c>
      <c r="AP35" s="1">
        <v>1532.858709680843</v>
      </c>
      <c r="AQ35" s="1">
        <v>1426.1493331599479</v>
      </c>
      <c r="AR35" s="1">
        <v>1177</v>
      </c>
      <c r="AS35" s="1">
        <v>1612</v>
      </c>
      <c r="AT35" s="1">
        <v>1149</v>
      </c>
      <c r="AU35" s="1">
        <v>1403</v>
      </c>
      <c r="AV35" s="1">
        <v>1250</v>
      </c>
    </row>
    <row r="36" spans="1:48" x14ac:dyDescent="0.3">
      <c r="A36" s="4">
        <v>410316964</v>
      </c>
      <c r="B36" s="4" t="s">
        <v>103</v>
      </c>
      <c r="C36" s="4" t="str">
        <f>IFERROR(VLOOKUP(Tabela1[[#This Row],[Código]],Cadastro!$A:$J,2,0),"Sem Cadastro")</f>
        <v>ALIMENTOS</v>
      </c>
      <c r="D36" s="4" t="str">
        <f>IFERROR(VLOOKUP(Tabela1[[#This Row],[Código]],Cadastro!$A:$J,3,0),"Sem Cadastro")</f>
        <v>CHOCOLATES</v>
      </c>
      <c r="E36" s="4" t="str">
        <f>IFERROR(VLOOKUP(Tabela1[[#This Row],[Código]],Cadastro!$A:$J,4,0),"Sem Cadastro")</f>
        <v>IMPULSO</v>
      </c>
      <c r="F36" s="4" t="str">
        <f>IFERROR(VLOOKUP(Tabela1[[#This Row],[Código]],Cadastro!$A:$J,5,0),"Sem Cadastro")</f>
        <v>AA</v>
      </c>
      <c r="G36" s="5" t="s">
        <v>100</v>
      </c>
      <c r="H36" s="1">
        <v>1601.9999999999998</v>
      </c>
      <c r="I36" s="1">
        <v>2172.0151752569323</v>
      </c>
      <c r="J36" s="1">
        <v>1746.4368472462336</v>
      </c>
      <c r="K36" s="1">
        <v>1857</v>
      </c>
      <c r="L36" s="1">
        <v>1692.3681147441912</v>
      </c>
      <c r="M36" s="1">
        <v>1712</v>
      </c>
      <c r="N36" s="1">
        <v>1900</v>
      </c>
      <c r="O36" s="1">
        <v>1800</v>
      </c>
      <c r="P36" s="1">
        <v>1900</v>
      </c>
      <c r="Q36" s="1">
        <v>1837.7668586435695</v>
      </c>
      <c r="R36" s="1">
        <v>1909.6592162106733</v>
      </c>
      <c r="S36" s="1">
        <v>1586</v>
      </c>
      <c r="T36" s="1">
        <v>1700.0000000000002</v>
      </c>
      <c r="U36" s="1">
        <v>1900</v>
      </c>
      <c r="V36" s="1">
        <v>2200</v>
      </c>
      <c r="W36" s="1">
        <v>2200</v>
      </c>
      <c r="X36" s="1">
        <v>2000</v>
      </c>
      <c r="Y36" s="1">
        <v>1600</v>
      </c>
      <c r="Z36" s="1">
        <v>1645</v>
      </c>
      <c r="AA36" s="1">
        <v>1645</v>
      </c>
      <c r="AB36" s="1">
        <v>1500</v>
      </c>
      <c r="AC36" s="1">
        <v>1229</v>
      </c>
      <c r="AD36" s="1">
        <v>1280</v>
      </c>
      <c r="AE36" s="1">
        <v>1000</v>
      </c>
      <c r="AF36" s="1">
        <v>1179</v>
      </c>
      <c r="AG36" s="1">
        <v>1246.2179170425607</v>
      </c>
      <c r="AH36" s="1">
        <v>1301.8407884999995</v>
      </c>
      <c r="AI36" s="1">
        <v>1275.1470131346482</v>
      </c>
      <c r="AJ36" s="1">
        <v>1219.626367473732</v>
      </c>
      <c r="AK36" s="1">
        <v>1346.810570432428</v>
      </c>
      <c r="AL36" s="1">
        <v>1196.5007114721188</v>
      </c>
      <c r="AM36" s="1">
        <v>1228.2270708266126</v>
      </c>
      <c r="AN36" s="1">
        <v>1346.3279608544804</v>
      </c>
      <c r="AO36" s="1">
        <v>1334.8742315921493</v>
      </c>
      <c r="AP36" s="1">
        <v>1071.9827286156374</v>
      </c>
      <c r="AQ36" s="1">
        <v>1051.3402556630313</v>
      </c>
      <c r="AR36" s="1">
        <v>929</v>
      </c>
      <c r="AS36" s="1">
        <v>1200</v>
      </c>
      <c r="AT36" s="1">
        <v>1100</v>
      </c>
      <c r="AU36" s="1">
        <v>1313</v>
      </c>
      <c r="AV36" s="1">
        <v>1396</v>
      </c>
    </row>
    <row r="37" spans="1:48" x14ac:dyDescent="0.3">
      <c r="A37" s="4">
        <v>410316564</v>
      </c>
      <c r="B37" s="4" t="s">
        <v>104</v>
      </c>
      <c r="C37" s="4" t="str">
        <f>IFERROR(VLOOKUP(Tabela1[[#This Row],[Código]],Cadastro!$A:$J,2,0),"Sem Cadastro")</f>
        <v>ALIMENTOS</v>
      </c>
      <c r="D37" s="4" t="str">
        <f>IFERROR(VLOOKUP(Tabela1[[#This Row],[Código]],Cadastro!$A:$J,3,0),"Sem Cadastro")</f>
        <v>CHOCOLATES</v>
      </c>
      <c r="E37" s="4" t="str">
        <f>IFERROR(VLOOKUP(Tabela1[[#This Row],[Código]],Cadastro!$A:$J,4,0),"Sem Cadastro")</f>
        <v>IMPULSO</v>
      </c>
      <c r="F37" s="4" t="str">
        <f>IFERROR(VLOOKUP(Tabela1[[#This Row],[Código]],Cadastro!$A:$J,5,0),"Sem Cadastro")</f>
        <v>AA</v>
      </c>
      <c r="G37" s="5" t="s">
        <v>100</v>
      </c>
      <c r="H37" s="1">
        <v>1007</v>
      </c>
      <c r="I37" s="1">
        <v>1654.7487975460206</v>
      </c>
      <c r="J37" s="1">
        <v>1272.9300108163538</v>
      </c>
      <c r="K37" s="1">
        <v>1280</v>
      </c>
      <c r="L37" s="1">
        <v>1646.9474617564788</v>
      </c>
      <c r="M37" s="1">
        <v>1150</v>
      </c>
      <c r="N37" s="1">
        <v>1500</v>
      </c>
      <c r="O37" s="1">
        <v>1300</v>
      </c>
      <c r="P37" s="1">
        <v>1499.9999999999998</v>
      </c>
      <c r="Q37" s="1">
        <v>1378.3251439826772</v>
      </c>
      <c r="R37" s="1">
        <v>1388.8430663350352</v>
      </c>
      <c r="S37" s="1">
        <v>1196</v>
      </c>
      <c r="T37" s="1">
        <v>1400</v>
      </c>
      <c r="U37" s="1">
        <v>1600</v>
      </c>
      <c r="V37" s="1">
        <v>0</v>
      </c>
      <c r="W37" s="1">
        <v>1500</v>
      </c>
      <c r="X37" s="1">
        <v>1500</v>
      </c>
      <c r="Y37" s="1">
        <v>1400</v>
      </c>
      <c r="Z37" s="1">
        <v>1374</v>
      </c>
      <c r="AA37" s="1">
        <v>1374</v>
      </c>
      <c r="AB37" s="1">
        <v>1100</v>
      </c>
      <c r="AC37" s="1">
        <v>980</v>
      </c>
      <c r="AD37" s="1">
        <v>1000</v>
      </c>
      <c r="AE37" s="1">
        <v>825</v>
      </c>
      <c r="AF37" s="1">
        <v>1072</v>
      </c>
      <c r="AG37" s="1">
        <v>1124.2587488428903</v>
      </c>
      <c r="AH37" s="1">
        <v>1168.4313585000011</v>
      </c>
      <c r="AI37" s="1">
        <v>1134.9999999999995</v>
      </c>
      <c r="AJ37" s="1">
        <v>1043.2343581945636</v>
      </c>
      <c r="AK37" s="1">
        <v>1135.5779024728347</v>
      </c>
      <c r="AL37" s="1">
        <v>995.62930107158468</v>
      </c>
      <c r="AM37" s="1">
        <v>1012.4305454202232</v>
      </c>
      <c r="AN37" s="1">
        <v>1177.8310541294002</v>
      </c>
      <c r="AO37" s="1">
        <v>1068.9269882770038</v>
      </c>
      <c r="AP37" s="1">
        <v>1110.4198405895327</v>
      </c>
      <c r="AQ37" s="1">
        <v>1068.3681741594492</v>
      </c>
      <c r="AR37" s="1">
        <v>835</v>
      </c>
      <c r="AS37" s="1">
        <v>1100</v>
      </c>
      <c r="AT37" s="1">
        <v>1100</v>
      </c>
      <c r="AU37" s="1">
        <v>1320</v>
      </c>
      <c r="AV37" s="1">
        <v>1392</v>
      </c>
    </row>
    <row r="38" spans="1:48" x14ac:dyDescent="0.3">
      <c r="A38" s="4">
        <v>410026415</v>
      </c>
      <c r="B38" s="4" t="s">
        <v>105</v>
      </c>
      <c r="C38" s="4" t="str">
        <f>IFERROR(VLOOKUP(Tabela1[[#This Row],[Código]],Cadastro!$A:$J,2,0),"Sem Cadastro")</f>
        <v>ADOÇANTES</v>
      </c>
      <c r="D38" s="4" t="str">
        <f>IFERROR(VLOOKUP(Tabela1[[#This Row],[Código]],Cadastro!$A:$J,3,0),"Sem Cadastro")</f>
        <v>STEVIA</v>
      </c>
      <c r="E38" s="4" t="str">
        <f>IFERROR(VLOOKUP(Tabela1[[#This Row],[Código]],Cadastro!$A:$J,4,0),"Sem Cadastro")</f>
        <v>STEVIA PÓ</v>
      </c>
      <c r="F38" s="4" t="str">
        <f>IFERROR(VLOOKUP(Tabela1[[#This Row],[Código]],Cadastro!$A:$J,5,0),"Sem Cadastro")</f>
        <v>CC</v>
      </c>
      <c r="G38" s="5" t="s">
        <v>74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445</v>
      </c>
      <c r="Q38" s="1">
        <v>689.16257199133861</v>
      </c>
      <c r="R38" s="1">
        <v>737.82287899048742</v>
      </c>
      <c r="S38" s="1">
        <v>560</v>
      </c>
      <c r="T38" s="1">
        <v>400</v>
      </c>
      <c r="U38" s="1">
        <v>450</v>
      </c>
      <c r="V38" s="1">
        <v>600</v>
      </c>
      <c r="W38" s="1">
        <v>600</v>
      </c>
      <c r="X38" s="1">
        <v>800</v>
      </c>
      <c r="Y38" s="1">
        <v>600</v>
      </c>
      <c r="Z38" s="1">
        <v>837</v>
      </c>
      <c r="AA38" s="1">
        <v>837</v>
      </c>
      <c r="AB38" s="1">
        <v>800</v>
      </c>
      <c r="AC38" s="1">
        <v>875</v>
      </c>
      <c r="AD38" s="1">
        <v>800</v>
      </c>
      <c r="AE38" s="1">
        <v>770</v>
      </c>
      <c r="AF38" s="1">
        <v>825</v>
      </c>
      <c r="AG38" s="1">
        <v>645.85788000000002</v>
      </c>
      <c r="AH38" s="1">
        <v>634.85208</v>
      </c>
      <c r="AI38" s="1">
        <v>627.00000000000011</v>
      </c>
      <c r="AJ38" s="1">
        <v>727.96312337324332</v>
      </c>
      <c r="AK38" s="1">
        <v>794.90453173098467</v>
      </c>
      <c r="AL38" s="1">
        <v>913.34076039169486</v>
      </c>
      <c r="AM38" s="1">
        <v>568.2623180158721</v>
      </c>
      <c r="AN38" s="1">
        <v>635.7130505233838</v>
      </c>
      <c r="AO38" s="1">
        <v>644.98511659433325</v>
      </c>
      <c r="AP38" s="1">
        <v>867.10334438667962</v>
      </c>
      <c r="AQ38" s="1">
        <v>723.48003993663121</v>
      </c>
      <c r="AR38" s="1">
        <v>582</v>
      </c>
      <c r="AS38" s="1">
        <v>700</v>
      </c>
      <c r="AT38" s="1">
        <v>760</v>
      </c>
      <c r="AU38" s="1">
        <v>750</v>
      </c>
      <c r="AV38" s="1">
        <v>850</v>
      </c>
    </row>
    <row r="39" spans="1:48" x14ac:dyDescent="0.3">
      <c r="A39" s="4">
        <v>410040657</v>
      </c>
      <c r="B39" s="4" t="s">
        <v>106</v>
      </c>
      <c r="C39" s="4" t="str">
        <f>IFERROR(VLOOKUP(Tabela1[[#This Row],[Código]],Cadastro!$A:$J,2,0),"Sem Cadastro")</f>
        <v>ALIMENTOS</v>
      </c>
      <c r="D39" s="4" t="str">
        <f>IFERROR(VLOOKUP(Tabela1[[#This Row],[Código]],Cadastro!$A:$J,3,0),"Sem Cadastro")</f>
        <v>GELEIAS</v>
      </c>
      <c r="E39" s="4" t="str">
        <f>IFERROR(VLOOKUP(Tabela1[[#This Row],[Código]],Cadastro!$A:$J,4,0),"Sem Cadastro")</f>
        <v>GELEIA DE FRUTAS</v>
      </c>
      <c r="F39" s="4" t="str">
        <f>IFERROR(VLOOKUP(Tabela1[[#This Row],[Código]],Cadastro!$A:$J,5,0),"Sem Cadastro")</f>
        <v>BB</v>
      </c>
      <c r="G39" s="5" t="s">
        <v>66</v>
      </c>
      <c r="H39" s="1">
        <v>1666.0000000000002</v>
      </c>
      <c r="I39" s="1">
        <v>1676.0466826080153</v>
      </c>
      <c r="J39" s="1">
        <v>1275.0102684163605</v>
      </c>
      <c r="K39" s="1">
        <v>1265</v>
      </c>
      <c r="L39" s="1">
        <v>1011.9107720159341</v>
      </c>
      <c r="M39" s="1">
        <v>1000</v>
      </c>
      <c r="N39" s="1">
        <v>1555</v>
      </c>
      <c r="O39" s="1">
        <v>1600</v>
      </c>
      <c r="P39" s="1">
        <v>1561.3266666666668</v>
      </c>
      <c r="Q39" s="1">
        <v>1929.9999999999998</v>
      </c>
      <c r="R39" s="1">
        <v>1790</v>
      </c>
      <c r="S39" s="1">
        <v>1369</v>
      </c>
      <c r="T39" s="1">
        <v>1000</v>
      </c>
      <c r="U39" s="1">
        <v>1500</v>
      </c>
      <c r="V39" s="1">
        <v>1655.7399999999989</v>
      </c>
      <c r="W39" s="1">
        <v>1600</v>
      </c>
      <c r="X39" s="1">
        <v>1400</v>
      </c>
      <c r="Y39" s="1">
        <v>1400</v>
      </c>
      <c r="Z39" s="1">
        <v>1388</v>
      </c>
      <c r="AA39" s="1">
        <v>1388</v>
      </c>
      <c r="AB39" s="1">
        <v>1400</v>
      </c>
      <c r="AC39" s="1">
        <v>1258</v>
      </c>
      <c r="AD39" s="1">
        <v>1250</v>
      </c>
      <c r="AE39" s="1">
        <v>1100</v>
      </c>
      <c r="AF39" s="1">
        <v>750</v>
      </c>
      <c r="AG39" s="1">
        <v>1008.3584050000009</v>
      </c>
      <c r="AH39" s="1">
        <v>1040.4717299999998</v>
      </c>
      <c r="AI39" s="1">
        <v>859.99999999999704</v>
      </c>
      <c r="AJ39" s="1">
        <v>832.78533692626331</v>
      </c>
      <c r="AK39" s="1">
        <v>903.92246352898883</v>
      </c>
      <c r="AL39" s="1">
        <v>983.59119595227367</v>
      </c>
      <c r="AM39" s="1">
        <v>878.75236018925693</v>
      </c>
      <c r="AN39" s="1">
        <v>985.55432082055859</v>
      </c>
      <c r="AO39" s="1">
        <v>876.87164607941111</v>
      </c>
      <c r="AP39" s="1">
        <v>838.79662094918604</v>
      </c>
      <c r="AQ39" s="1">
        <v>719.096824909303</v>
      </c>
      <c r="AR39" s="1">
        <v>750</v>
      </c>
      <c r="AS39" s="1">
        <v>834</v>
      </c>
      <c r="AT39" s="1">
        <v>909</v>
      </c>
      <c r="AU39" s="1">
        <v>876</v>
      </c>
      <c r="AV39" s="1">
        <v>937</v>
      </c>
    </row>
    <row r="40" spans="1:48" x14ac:dyDescent="0.3">
      <c r="A40" s="4">
        <v>410080295</v>
      </c>
      <c r="B40" s="4" t="s">
        <v>107</v>
      </c>
      <c r="C40" s="4" t="str">
        <f>IFERROR(VLOOKUP(Tabela1[[#This Row],[Código]],Cadastro!$A:$J,2,0),"Sem Cadastro")</f>
        <v>ADOÇANTES</v>
      </c>
      <c r="D40" s="4" t="str">
        <f>IFERROR(VLOOKUP(Tabela1[[#This Row],[Código]],Cadastro!$A:$J,3,0),"Sem Cadastro")</f>
        <v>XILITOL</v>
      </c>
      <c r="E40" s="4" t="str">
        <f>IFERROR(VLOOKUP(Tabela1[[#This Row],[Código]],Cadastro!$A:$J,4,0),"Sem Cadastro")</f>
        <v>XILITOL PÓ</v>
      </c>
      <c r="F40" s="4" t="str">
        <f>IFERROR(VLOOKUP(Tabela1[[#This Row],[Código]],Cadastro!$A:$J,5,0),"Sem Cadastro")</f>
        <v>AB</v>
      </c>
      <c r="G40" s="5" t="s">
        <v>108</v>
      </c>
      <c r="H40" s="1">
        <v>1373</v>
      </c>
      <c r="I40" s="1">
        <v>2103.4833931049052</v>
      </c>
      <c r="J40" s="1">
        <v>1891.6593442282285</v>
      </c>
      <c r="K40" s="1">
        <v>2028</v>
      </c>
      <c r="L40" s="1">
        <v>2689.7370570334347</v>
      </c>
      <c r="M40" s="1">
        <v>2000</v>
      </c>
      <c r="N40" s="1">
        <v>1700</v>
      </c>
      <c r="O40" s="1">
        <v>2300</v>
      </c>
      <c r="P40" s="1">
        <v>2500</v>
      </c>
      <c r="Q40" s="1">
        <v>1837.7668586435695</v>
      </c>
      <c r="R40" s="1">
        <v>2170.0672911484926</v>
      </c>
      <c r="S40" s="1">
        <v>1304</v>
      </c>
      <c r="T40" s="1">
        <v>1300.0000000000002</v>
      </c>
      <c r="U40" s="1">
        <v>1599.9999999999998</v>
      </c>
      <c r="V40" s="1">
        <v>1600</v>
      </c>
      <c r="W40" s="1">
        <v>1600</v>
      </c>
      <c r="X40" s="1">
        <v>1500</v>
      </c>
      <c r="Y40" s="1">
        <v>1500</v>
      </c>
      <c r="Z40" s="1">
        <v>1602</v>
      </c>
      <c r="AA40" s="1">
        <v>1602</v>
      </c>
      <c r="AB40" s="1">
        <v>1300</v>
      </c>
      <c r="AC40" s="1">
        <v>1220</v>
      </c>
      <c r="AD40" s="1">
        <v>1200</v>
      </c>
      <c r="AE40" s="1">
        <v>1280</v>
      </c>
      <c r="AF40" s="1">
        <v>1179</v>
      </c>
      <c r="AG40" s="1">
        <v>1217.3226169999991</v>
      </c>
      <c r="AH40" s="1">
        <v>1264.1065220000005</v>
      </c>
      <c r="AI40" s="1">
        <v>1100</v>
      </c>
      <c r="AJ40" s="1">
        <v>1038.2030305554026</v>
      </c>
      <c r="AK40" s="1">
        <v>1089.4221862410102</v>
      </c>
      <c r="AL40" s="1">
        <v>1272.2205961527259</v>
      </c>
      <c r="AM40" s="1">
        <v>1027.3427768245003</v>
      </c>
      <c r="AN40" s="1">
        <v>1021.6924479628569</v>
      </c>
      <c r="AO40" s="1">
        <v>1061.7827632795686</v>
      </c>
      <c r="AP40" s="1">
        <v>1209.2249817510744</v>
      </c>
      <c r="AQ40" s="1">
        <v>1213.8858686660183</v>
      </c>
      <c r="AR40" s="1">
        <v>942</v>
      </c>
      <c r="AS40" s="1">
        <v>1053</v>
      </c>
      <c r="AT40" s="1">
        <v>0</v>
      </c>
      <c r="AU40" s="1">
        <v>1133</v>
      </c>
      <c r="AV40" s="1">
        <v>1200</v>
      </c>
    </row>
    <row r="41" spans="1:48" x14ac:dyDescent="0.3">
      <c r="A41" s="4">
        <v>415025624</v>
      </c>
      <c r="B41" s="4" t="s">
        <v>109</v>
      </c>
      <c r="C41" s="4" t="str">
        <f>IFERROR(VLOOKUP(Tabela1[[#This Row],[Código]],Cadastro!$A:$J,2,0),"Sem Cadastro")</f>
        <v>ADOÇANTES</v>
      </c>
      <c r="D41" s="4" t="str">
        <f>IFERROR(VLOOKUP(Tabela1[[#This Row],[Código]],Cadastro!$A:$J,3,0),"Sem Cadastro")</f>
        <v>SUCRALOSE</v>
      </c>
      <c r="E41" s="4" t="str">
        <f>IFERROR(VLOOKUP(Tabela1[[#This Row],[Código]],Cadastro!$A:$J,4,0),"Sem Cadastro")</f>
        <v>SUCRALOSE PÓ</v>
      </c>
      <c r="F41" s="4" t="str">
        <f>IFERROR(VLOOKUP(Tabela1[[#This Row],[Código]],Cadastro!$A:$J,5,0),"Sem Cadastro")</f>
        <v>BB</v>
      </c>
      <c r="G41" s="5" t="s">
        <v>59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1222</v>
      </c>
      <c r="N41" s="1">
        <v>2600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245</v>
      </c>
      <c r="W41" s="1">
        <v>1100</v>
      </c>
      <c r="X41" s="1">
        <v>950</v>
      </c>
      <c r="Y41" s="1">
        <v>900</v>
      </c>
      <c r="Z41" s="1">
        <v>1101</v>
      </c>
      <c r="AA41" s="1">
        <v>1101</v>
      </c>
      <c r="AB41" s="1">
        <v>1100</v>
      </c>
      <c r="AC41" s="1">
        <v>980</v>
      </c>
      <c r="AD41" s="1">
        <v>1100</v>
      </c>
      <c r="AE41" s="1">
        <v>1000</v>
      </c>
      <c r="AF41" s="1">
        <v>858</v>
      </c>
      <c r="AG41" s="1">
        <v>897.21104000000003</v>
      </c>
      <c r="AH41" s="1">
        <v>925.78463999999997</v>
      </c>
      <c r="AI41" s="1">
        <v>914.35519999999997</v>
      </c>
      <c r="AJ41" s="1">
        <v>861.23999999999967</v>
      </c>
      <c r="AK41" s="1">
        <v>918.78575745529429</v>
      </c>
      <c r="AL41" s="1">
        <v>1105.9523608972327</v>
      </c>
      <c r="AM41" s="1">
        <v>1169.3637172840254</v>
      </c>
      <c r="AN41" s="1">
        <v>1121.1332457592434</v>
      </c>
      <c r="AO41" s="1">
        <v>1103.3130405234417</v>
      </c>
      <c r="AP41" s="1">
        <v>1059.8170206247023</v>
      </c>
      <c r="AQ41" s="1">
        <v>978.3192900042128</v>
      </c>
      <c r="AR41" s="1">
        <v>1023</v>
      </c>
      <c r="AS41" s="1">
        <v>1133</v>
      </c>
      <c r="AT41" s="1">
        <v>1300</v>
      </c>
      <c r="AU41" s="1">
        <v>1250</v>
      </c>
      <c r="AV41" s="1">
        <v>1300</v>
      </c>
    </row>
    <row r="42" spans="1:48" x14ac:dyDescent="0.3">
      <c r="A42" s="4">
        <v>410080086</v>
      </c>
      <c r="B42" s="4" t="s">
        <v>110</v>
      </c>
      <c r="C42" s="4" t="str">
        <f>IFERROR(VLOOKUP(Tabela1[[#This Row],[Código]],Cadastro!$A:$J,2,0),"Sem Cadastro")</f>
        <v>ADOÇANTES</v>
      </c>
      <c r="D42" s="4" t="str">
        <f>IFERROR(VLOOKUP(Tabela1[[#This Row],[Código]],Cadastro!$A:$J,3,0),"Sem Cadastro")</f>
        <v>SUCRALOSE</v>
      </c>
      <c r="E42" s="4" t="str">
        <f>IFERROR(VLOOKUP(Tabela1[[#This Row],[Código]],Cadastro!$A:$J,4,0),"Sem Cadastro")</f>
        <v>SUCRALOSE CULINÁRIO</v>
      </c>
      <c r="F42" s="4" t="str">
        <f>IFERROR(VLOOKUP(Tabela1[[#This Row],[Código]],Cadastro!$A:$J,5,0),"Sem Cadastro")</f>
        <v>BB</v>
      </c>
      <c r="G42" s="5" t="s">
        <v>95</v>
      </c>
      <c r="H42" s="1">
        <v>503.38889293747047</v>
      </c>
      <c r="I42" s="1">
        <v>0</v>
      </c>
      <c r="J42" s="1">
        <v>0</v>
      </c>
      <c r="K42" s="1">
        <v>520</v>
      </c>
      <c r="L42" s="1">
        <v>2057.919627528936</v>
      </c>
      <c r="M42" s="1">
        <v>1000</v>
      </c>
      <c r="N42" s="1">
        <v>1115</v>
      </c>
      <c r="O42" s="1">
        <v>1200</v>
      </c>
      <c r="P42" s="1">
        <v>1000</v>
      </c>
      <c r="Q42" s="1">
        <v>1102.6601151861419</v>
      </c>
      <c r="R42" s="1">
        <v>868.02691645939706</v>
      </c>
      <c r="S42" s="1">
        <v>686</v>
      </c>
      <c r="T42" s="1">
        <v>600</v>
      </c>
      <c r="U42" s="1">
        <v>700</v>
      </c>
      <c r="V42" s="1">
        <v>800</v>
      </c>
      <c r="W42" s="1">
        <v>850</v>
      </c>
      <c r="X42" s="1">
        <v>850</v>
      </c>
      <c r="Y42" s="1">
        <v>800</v>
      </c>
      <c r="Z42" s="1">
        <v>936</v>
      </c>
      <c r="AA42" s="1">
        <v>936</v>
      </c>
      <c r="AB42" s="1">
        <v>820</v>
      </c>
      <c r="AC42" s="1">
        <v>683</v>
      </c>
      <c r="AD42" s="1">
        <v>800</v>
      </c>
      <c r="AE42" s="1">
        <v>800</v>
      </c>
      <c r="AF42" s="1">
        <v>804</v>
      </c>
      <c r="AG42" s="1">
        <v>730.62933000000055</v>
      </c>
      <c r="AH42" s="1">
        <v>764.09777999999994</v>
      </c>
      <c r="AI42" s="1">
        <v>699.99999999999864</v>
      </c>
      <c r="AJ42" s="1">
        <v>743.08560000000136</v>
      </c>
      <c r="AK42" s="1">
        <v>696.12565536808199</v>
      </c>
      <c r="AL42" s="1">
        <v>737.94765210921003</v>
      </c>
      <c r="AM42" s="1">
        <v>852.768490037623</v>
      </c>
      <c r="AN42" s="1">
        <v>848.30514984601791</v>
      </c>
      <c r="AO42" s="1">
        <v>888.22032758977537</v>
      </c>
      <c r="AP42" s="1">
        <v>1006.05935811531</v>
      </c>
      <c r="AQ42" s="1">
        <v>951.50556060044153</v>
      </c>
      <c r="AR42" s="1">
        <v>635</v>
      </c>
      <c r="AS42" s="1">
        <v>715</v>
      </c>
      <c r="AT42" s="1">
        <v>830</v>
      </c>
      <c r="AU42" s="1">
        <v>753</v>
      </c>
      <c r="AV42" s="1">
        <v>800</v>
      </c>
    </row>
    <row r="43" spans="1:48" x14ac:dyDescent="0.3">
      <c r="A43" s="4">
        <v>410430225</v>
      </c>
      <c r="B43" s="4" t="s">
        <v>111</v>
      </c>
      <c r="C43" s="4" t="str">
        <f>IFERROR(VLOOKUP(Tabela1[[#This Row],[Código]],Cadastro!$A:$J,2,0),"Sem Cadastro")</f>
        <v>ALIMENTOS</v>
      </c>
      <c r="D43" s="4" t="str">
        <f>IFERROR(VLOOKUP(Tabela1[[#This Row],[Código]],Cadastro!$A:$J,3,0),"Sem Cadastro")</f>
        <v>OUTROS</v>
      </c>
      <c r="E43" s="4" t="str">
        <f>IFERROR(VLOOKUP(Tabela1[[#This Row],[Código]],Cadastro!$A:$J,4,0),"Sem Cadastro")</f>
        <v>PIPOCA</v>
      </c>
      <c r="F43" s="4" t="str">
        <f>IFERROR(VLOOKUP(Tabela1[[#This Row],[Código]],Cadastro!$A:$J,5,0),"Sem Cadastro")</f>
        <v>BC</v>
      </c>
      <c r="G43" s="5" t="s">
        <v>102</v>
      </c>
      <c r="H43" s="1">
        <v>1007</v>
      </c>
      <c r="I43" s="1">
        <v>1301.1229352013136</v>
      </c>
      <c r="J43" s="1">
        <v>1211.3668996589502</v>
      </c>
      <c r="K43" s="1">
        <v>1426</v>
      </c>
      <c r="L43" s="1">
        <v>1303.7502513584877</v>
      </c>
      <c r="M43" s="1">
        <v>1490</v>
      </c>
      <c r="N43" s="1">
        <v>1000.8333333333334</v>
      </c>
      <c r="O43" s="1">
        <v>800</v>
      </c>
      <c r="P43" s="1">
        <v>1000</v>
      </c>
      <c r="Q43" s="1">
        <v>1194.5484581183202</v>
      </c>
      <c r="R43" s="1">
        <v>1215.2376830431558</v>
      </c>
      <c r="S43" s="1">
        <v>0</v>
      </c>
      <c r="T43" s="1">
        <v>1400</v>
      </c>
      <c r="U43" s="1">
        <v>1000</v>
      </c>
      <c r="V43" s="1">
        <v>1900</v>
      </c>
      <c r="W43" s="1">
        <v>1200</v>
      </c>
      <c r="X43" s="1">
        <v>1200</v>
      </c>
      <c r="Y43" s="1">
        <v>1100</v>
      </c>
      <c r="Z43" s="1">
        <v>1363</v>
      </c>
      <c r="AA43" s="1">
        <v>1363</v>
      </c>
      <c r="AB43" s="1">
        <v>1000</v>
      </c>
      <c r="AC43" s="1">
        <v>1018</v>
      </c>
      <c r="AD43" s="1">
        <v>1000</v>
      </c>
      <c r="AE43" s="1">
        <v>700</v>
      </c>
      <c r="AF43" s="1">
        <v>804</v>
      </c>
      <c r="AG43" s="1">
        <v>913.13358749999998</v>
      </c>
      <c r="AH43" s="1">
        <v>900</v>
      </c>
      <c r="AI43" s="1">
        <v>900.00000000000045</v>
      </c>
      <c r="AJ43" s="1">
        <v>781.18460315367076</v>
      </c>
      <c r="AK43" s="1">
        <v>790.59407528853569</v>
      </c>
      <c r="AL43" s="1">
        <v>878.88941337077051</v>
      </c>
      <c r="AM43" s="1">
        <v>809.84642832728582</v>
      </c>
      <c r="AN43" s="1">
        <v>825.6507631308267</v>
      </c>
      <c r="AO43" s="1">
        <v>861.43279343074016</v>
      </c>
      <c r="AP43" s="1">
        <v>1055.6023945667509</v>
      </c>
      <c r="AQ43" s="1">
        <v>967.70925536035759</v>
      </c>
      <c r="AR43" s="1">
        <v>880</v>
      </c>
      <c r="AS43" s="1">
        <v>1194</v>
      </c>
      <c r="AT43" s="1">
        <v>868</v>
      </c>
      <c r="AU43" s="1">
        <v>1100</v>
      </c>
      <c r="AV43" s="1">
        <v>1000</v>
      </c>
    </row>
    <row r="44" spans="1:48" x14ac:dyDescent="0.3">
      <c r="A44" s="4">
        <v>410270240</v>
      </c>
      <c r="B44" s="4" t="s">
        <v>112</v>
      </c>
      <c r="C44" s="4" t="str">
        <f>IFERROR(VLOOKUP(Tabela1[[#This Row],[Código]],Cadastro!$A:$J,2,0),"Sem Cadastro")</f>
        <v>ALIMENTOS</v>
      </c>
      <c r="D44" s="4" t="str">
        <f>IFERROR(VLOOKUP(Tabela1[[#This Row],[Código]],Cadastro!$A:$J,3,0),"Sem Cadastro")</f>
        <v>SOBREMESAS EM PÓ</v>
      </c>
      <c r="E44" s="4" t="str">
        <f>IFERROR(VLOOKUP(Tabela1[[#This Row],[Código]],Cadastro!$A:$J,4,0),"Sem Cadastro")</f>
        <v>PUDIM</v>
      </c>
      <c r="F44" s="4" t="str">
        <f>IFERROR(VLOOKUP(Tabela1[[#This Row],[Código]],Cadastro!$A:$J,5,0),"Sem Cadastro")</f>
        <v>CC</v>
      </c>
      <c r="G44" s="5" t="s">
        <v>113</v>
      </c>
      <c r="H44" s="1">
        <v>503.38889293747059</v>
      </c>
      <c r="I44" s="1">
        <v>585.51801889267745</v>
      </c>
      <c r="J44" s="1">
        <v>493.59896493432569</v>
      </c>
      <c r="K44" s="1">
        <v>572</v>
      </c>
      <c r="L44" s="1">
        <v>447.28662469683502</v>
      </c>
      <c r="M44" s="1">
        <v>715.00000000000011</v>
      </c>
      <c r="N44" s="1">
        <v>626.33333333333326</v>
      </c>
      <c r="O44" s="1">
        <v>800</v>
      </c>
      <c r="P44" s="1">
        <v>800</v>
      </c>
      <c r="Q44" s="1">
        <v>643.21840052524931</v>
      </c>
      <c r="R44" s="1">
        <v>607.61884152157791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625</v>
      </c>
      <c r="AE44" s="1">
        <v>500</v>
      </c>
      <c r="AF44" s="1">
        <v>643</v>
      </c>
      <c r="AG44" s="1">
        <v>562.44386500000064</v>
      </c>
      <c r="AH44" s="1">
        <v>580.35608999999999</v>
      </c>
      <c r="AI44" s="1">
        <v>950.00000000000068</v>
      </c>
      <c r="AJ44" s="1">
        <v>839.77208748494513</v>
      </c>
      <c r="AK44" s="1">
        <v>842.954563799011</v>
      </c>
      <c r="AL44" s="1">
        <v>465.80519166179124</v>
      </c>
      <c r="AM44" s="1">
        <v>819.36538975158442</v>
      </c>
      <c r="AN44" s="1">
        <v>887.72594235675467</v>
      </c>
      <c r="AO44" s="1">
        <v>657.83510862099183</v>
      </c>
      <c r="AP44" s="1">
        <v>681.09622144755826</v>
      </c>
      <c r="AQ44" s="1">
        <v>624.35182546355418</v>
      </c>
      <c r="AR44" s="1">
        <v>681</v>
      </c>
      <c r="AS44" s="1">
        <v>787</v>
      </c>
      <c r="AT44" s="1">
        <v>810</v>
      </c>
      <c r="AU44" s="1">
        <v>693</v>
      </c>
      <c r="AV44" s="1">
        <v>850</v>
      </c>
    </row>
    <row r="45" spans="1:48" x14ac:dyDescent="0.3">
      <c r="A45" s="4">
        <v>410041557</v>
      </c>
      <c r="B45" s="4" t="s">
        <v>114</v>
      </c>
      <c r="C45" s="4" t="str">
        <f>IFERROR(VLOOKUP(Tabela1[[#This Row],[Código]],Cadastro!$A:$J,2,0),"Sem Cadastro")</f>
        <v>ALIMENTOS</v>
      </c>
      <c r="D45" s="4" t="str">
        <f>IFERROR(VLOOKUP(Tabela1[[#This Row],[Código]],Cadastro!$A:$J,3,0),"Sem Cadastro")</f>
        <v>GELEIAS</v>
      </c>
      <c r="E45" s="4" t="str">
        <f>IFERROR(VLOOKUP(Tabela1[[#This Row],[Código]],Cadastro!$A:$J,4,0),"Sem Cadastro")</f>
        <v>GELEIA DE FRUTAS</v>
      </c>
      <c r="F45" s="4" t="str">
        <f>IFERROR(VLOOKUP(Tabela1[[#This Row],[Código]],Cadastro!$A:$J,5,0),"Sem Cadastro")</f>
        <v>BB</v>
      </c>
      <c r="G45" s="5" t="s">
        <v>66</v>
      </c>
      <c r="H45" s="1">
        <v>938.65049878021193</v>
      </c>
      <c r="I45" s="1">
        <v>1372.4778904826512</v>
      </c>
      <c r="J45" s="1">
        <v>1175.0623742623716</v>
      </c>
      <c r="K45" s="1">
        <v>891</v>
      </c>
      <c r="L45" s="1">
        <v>1204.4646552934953</v>
      </c>
      <c r="M45" s="1">
        <v>1000</v>
      </c>
      <c r="N45" s="1">
        <v>1430</v>
      </c>
      <c r="O45" s="1">
        <v>1100</v>
      </c>
      <c r="P45" s="1">
        <v>1400</v>
      </c>
      <c r="Q45" s="1">
        <v>1500</v>
      </c>
      <c r="R45" s="1">
        <v>1390</v>
      </c>
      <c r="S45" s="1">
        <v>1113</v>
      </c>
      <c r="T45" s="1">
        <v>1000.0000000000001</v>
      </c>
      <c r="U45" s="1">
        <v>1400</v>
      </c>
      <c r="V45" s="1">
        <v>1500</v>
      </c>
      <c r="W45" s="1">
        <v>1500</v>
      </c>
      <c r="X45" s="1">
        <v>1400</v>
      </c>
      <c r="Y45" s="1">
        <v>1300</v>
      </c>
      <c r="Z45" s="1">
        <v>1464</v>
      </c>
      <c r="AA45" s="1">
        <v>1464</v>
      </c>
      <c r="AB45" s="1">
        <v>1400</v>
      </c>
      <c r="AC45" s="1">
        <v>1175</v>
      </c>
      <c r="AD45" s="1">
        <v>1250</v>
      </c>
      <c r="AE45" s="1">
        <v>1100</v>
      </c>
      <c r="AF45" s="1">
        <v>858</v>
      </c>
      <c r="AG45" s="1">
        <v>1010.7640375000003</v>
      </c>
      <c r="AH45" s="1">
        <v>1048.1039750000004</v>
      </c>
      <c r="AI45" s="1">
        <v>849.99999999999977</v>
      </c>
      <c r="AJ45" s="1">
        <v>913.20334494839233</v>
      </c>
      <c r="AK45" s="1">
        <v>852.72892744920557</v>
      </c>
      <c r="AL45" s="1">
        <v>939.24869102975606</v>
      </c>
      <c r="AM45" s="1">
        <v>787.83283488518259</v>
      </c>
      <c r="AN45" s="1">
        <v>929.52740011772221</v>
      </c>
      <c r="AO45" s="1">
        <v>973.00643684627426</v>
      </c>
      <c r="AP45" s="1">
        <v>748.78769618840977</v>
      </c>
      <c r="AQ45" s="1">
        <v>705.88330498787036</v>
      </c>
      <c r="AR45" s="1">
        <v>812</v>
      </c>
      <c r="AS45" s="1">
        <v>892</v>
      </c>
      <c r="AT45" s="1">
        <v>962</v>
      </c>
      <c r="AU45" s="1">
        <v>959</v>
      </c>
      <c r="AV45" s="1">
        <v>970</v>
      </c>
    </row>
    <row r="46" spans="1:48" x14ac:dyDescent="0.3">
      <c r="A46" s="4">
        <v>410260057</v>
      </c>
      <c r="B46" s="4" t="s">
        <v>115</v>
      </c>
      <c r="C46" s="4" t="str">
        <f>IFERROR(VLOOKUP(Tabela1[[#This Row],[Código]],Cadastro!$A:$J,2,0),"Sem Cadastro")</f>
        <v>ALIMENTOS</v>
      </c>
      <c r="D46" s="4" t="str">
        <f>IFERROR(VLOOKUP(Tabela1[[#This Row],[Código]],Cadastro!$A:$J,3,0),"Sem Cadastro")</f>
        <v>OUTROS</v>
      </c>
      <c r="E46" s="4" t="str">
        <f>IFERROR(VLOOKUP(Tabela1[[#This Row],[Código]],Cadastro!$A:$J,4,0),"Sem Cadastro")</f>
        <v>LEITE CONDENSADO</v>
      </c>
      <c r="F46" s="4" t="str">
        <f>IFERROR(VLOOKUP(Tabela1[[#This Row],[Código]],Cadastro!$A:$J,5,0),"Sem Cadastro")</f>
        <v>AB</v>
      </c>
      <c r="G46" s="5" t="s">
        <v>116</v>
      </c>
      <c r="H46" s="1">
        <v>915.00000000000023</v>
      </c>
      <c r="I46" s="1">
        <v>1072.7583333333334</v>
      </c>
      <c r="J46" s="1">
        <v>929.80206176365914</v>
      </c>
      <c r="K46" s="1">
        <v>904</v>
      </c>
      <c r="L46" s="1">
        <v>755.17226097918558</v>
      </c>
      <c r="M46" s="1">
        <v>1100</v>
      </c>
      <c r="N46" s="1">
        <v>930.16666666666674</v>
      </c>
      <c r="O46" s="1">
        <v>1151.3833333333332</v>
      </c>
      <c r="P46" s="1">
        <v>1161.9533333333329</v>
      </c>
      <c r="Q46" s="1">
        <v>1102.6601151861419</v>
      </c>
      <c r="R46" s="1">
        <v>1215.2376830431558</v>
      </c>
      <c r="S46" s="1">
        <v>906</v>
      </c>
      <c r="T46" s="1">
        <v>800</v>
      </c>
      <c r="U46" s="1">
        <v>1000</v>
      </c>
      <c r="V46" s="1">
        <v>1320.4500000000003</v>
      </c>
      <c r="W46" s="1">
        <v>1200</v>
      </c>
      <c r="X46" s="1">
        <v>1000</v>
      </c>
      <c r="Y46" s="1">
        <v>825</v>
      </c>
      <c r="Z46" s="1">
        <v>1107</v>
      </c>
      <c r="AA46" s="1">
        <v>1107</v>
      </c>
      <c r="AB46" s="1">
        <v>950</v>
      </c>
      <c r="AC46" s="1">
        <v>1081</v>
      </c>
      <c r="AD46" s="1">
        <v>1000</v>
      </c>
      <c r="AE46" s="1">
        <v>700</v>
      </c>
      <c r="AF46" s="1">
        <v>965</v>
      </c>
      <c r="AG46" s="1">
        <v>810.55980249999971</v>
      </c>
      <c r="AH46" s="1">
        <v>850</v>
      </c>
      <c r="AI46" s="1">
        <v>900.00000000000136</v>
      </c>
      <c r="AJ46" s="1">
        <v>837.16599690083365</v>
      </c>
      <c r="AK46" s="1">
        <v>806.58271081999226</v>
      </c>
      <c r="AL46" s="1">
        <v>850.72396672820048</v>
      </c>
      <c r="AM46" s="1">
        <v>709.48358515407506</v>
      </c>
      <c r="AN46" s="1">
        <v>804.65496329466828</v>
      </c>
      <c r="AO46" s="1">
        <v>834.1755400201572</v>
      </c>
      <c r="AP46" s="1">
        <v>899.45678756826453</v>
      </c>
      <c r="AQ46" s="1">
        <v>780.95659518534467</v>
      </c>
      <c r="AR46" s="1">
        <v>761</v>
      </c>
      <c r="AS46" s="1">
        <v>850</v>
      </c>
      <c r="AT46" s="1">
        <v>0</v>
      </c>
      <c r="AU46" s="1">
        <v>0</v>
      </c>
      <c r="AV46" s="1">
        <v>950</v>
      </c>
    </row>
    <row r="47" spans="1:48" x14ac:dyDescent="0.3">
      <c r="A47" s="4">
        <v>410340057</v>
      </c>
      <c r="B47" s="4" t="s">
        <v>117</v>
      </c>
      <c r="C47" s="4" t="str">
        <f>IFERROR(VLOOKUP(Tabela1[[#This Row],[Código]],Cadastro!$A:$J,2,0),"Sem Cadastro")</f>
        <v>ALIMENTOS</v>
      </c>
      <c r="D47" s="4" t="str">
        <f>IFERROR(VLOOKUP(Tabela1[[#This Row],[Código]],Cadastro!$A:$J,3,0),"Sem Cadastro")</f>
        <v>OUTROS</v>
      </c>
      <c r="E47" s="4" t="str">
        <f>IFERROR(VLOOKUP(Tabela1[[#This Row],[Código]],Cadastro!$A:$J,4,0),"Sem Cadastro")</f>
        <v>DOCE DE LEITE</v>
      </c>
      <c r="F47" s="4" t="str">
        <f>IFERROR(VLOOKUP(Tabela1[[#This Row],[Código]],Cadastro!$A:$J,5,0),"Sem Cadastro")</f>
        <v>AB</v>
      </c>
      <c r="G47" s="5" t="s">
        <v>118</v>
      </c>
      <c r="H47" s="1">
        <v>457.99999999999994</v>
      </c>
      <c r="I47" s="1">
        <v>555.80348983413705</v>
      </c>
      <c r="J47" s="1">
        <v>578.51945004675076</v>
      </c>
      <c r="K47" s="1">
        <v>608</v>
      </c>
      <c r="L47" s="1">
        <v>658.89531934040508</v>
      </c>
      <c r="M47" s="1">
        <v>706</v>
      </c>
      <c r="N47" s="1">
        <v>515.00000000000011</v>
      </c>
      <c r="O47" s="1">
        <v>672.84666666666669</v>
      </c>
      <c r="P47" s="1">
        <v>692.87555555555571</v>
      </c>
      <c r="Q47" s="1">
        <v>689.16257199133861</v>
      </c>
      <c r="R47" s="1">
        <v>824.62557063642714</v>
      </c>
      <c r="S47" s="1">
        <v>543</v>
      </c>
      <c r="T47" s="1">
        <v>600.00000000000011</v>
      </c>
      <c r="U47" s="1">
        <v>700</v>
      </c>
      <c r="V47" s="1">
        <v>950</v>
      </c>
      <c r="W47" s="1">
        <v>800</v>
      </c>
      <c r="X47" s="1">
        <v>900</v>
      </c>
      <c r="Y47" s="1">
        <v>750</v>
      </c>
      <c r="Z47" s="1">
        <v>789</v>
      </c>
      <c r="AA47" s="1">
        <v>789</v>
      </c>
      <c r="AB47" s="1">
        <v>750</v>
      </c>
      <c r="AC47" s="1">
        <v>656</v>
      </c>
      <c r="AD47" s="1">
        <v>800</v>
      </c>
      <c r="AE47" s="1">
        <v>720</v>
      </c>
      <c r="AF47" s="1">
        <v>724</v>
      </c>
      <c r="AG47" s="1">
        <v>544.42890000000079</v>
      </c>
      <c r="AH47" s="1">
        <v>600</v>
      </c>
      <c r="AI47" s="1">
        <v>679.99999999999943</v>
      </c>
      <c r="AJ47" s="1">
        <v>624.63965481443074</v>
      </c>
      <c r="AK47" s="1">
        <v>607.64754782179432</v>
      </c>
      <c r="AL47" s="1">
        <v>660.64733539873896</v>
      </c>
      <c r="AM47" s="1">
        <v>538.56798962980099</v>
      </c>
      <c r="AN47" s="1">
        <v>612.50715967237932</v>
      </c>
      <c r="AO47" s="1">
        <v>847.88570890518793</v>
      </c>
      <c r="AP47" s="1">
        <v>965.62298559473015</v>
      </c>
      <c r="AQ47" s="1">
        <v>878.70598683785545</v>
      </c>
      <c r="AR47" s="1">
        <v>632</v>
      </c>
      <c r="AS47" s="1">
        <v>709</v>
      </c>
      <c r="AT47" s="1">
        <v>0</v>
      </c>
      <c r="AU47" s="1">
        <v>0</v>
      </c>
      <c r="AV47" s="1">
        <v>820</v>
      </c>
    </row>
    <row r="48" spans="1:48" x14ac:dyDescent="0.3">
      <c r="A48" s="4">
        <v>410015618</v>
      </c>
      <c r="B48" s="4" t="s">
        <v>119</v>
      </c>
      <c r="C48" s="4" t="str">
        <f>IFERROR(VLOOKUP(Tabela1[[#This Row],[Código]],Cadastro!$A:$J,2,0),"Sem Cadastro")</f>
        <v>ADOÇANTES</v>
      </c>
      <c r="D48" s="4" t="str">
        <f>IFERROR(VLOOKUP(Tabela1[[#This Row],[Código]],Cadastro!$A:$J,3,0),"Sem Cadastro")</f>
        <v>SUCRALOSE</v>
      </c>
      <c r="E48" s="4" t="str">
        <f>IFERROR(VLOOKUP(Tabela1[[#This Row],[Código]],Cadastro!$A:$J,4,0),"Sem Cadastro")</f>
        <v>SUCRALOSE INSTITUCIONAL</v>
      </c>
      <c r="F48" s="4" t="str">
        <f>IFERROR(VLOOKUP(Tabela1[[#This Row],[Código]],Cadastro!$A:$J,5,0),"Sem Cadastro")</f>
        <v>CC</v>
      </c>
      <c r="G48" s="5" t="s">
        <v>63</v>
      </c>
      <c r="H48" s="1">
        <v>915.00000000000023</v>
      </c>
      <c r="I48" s="1">
        <v>1694.6833333333334</v>
      </c>
      <c r="J48" s="1">
        <v>1682.2252646971274</v>
      </c>
      <c r="K48" s="1">
        <v>2321</v>
      </c>
      <c r="L48" s="1">
        <v>2535.2927964878904</v>
      </c>
      <c r="M48" s="1">
        <v>1933</v>
      </c>
      <c r="N48" s="1">
        <v>1905</v>
      </c>
      <c r="O48" s="1">
        <v>2300</v>
      </c>
      <c r="P48" s="1">
        <v>2000</v>
      </c>
      <c r="Q48" s="1">
        <v>1837.7668586435695</v>
      </c>
      <c r="R48" s="1">
        <v>1996.4619078566132</v>
      </c>
      <c r="S48" s="1">
        <v>1579</v>
      </c>
      <c r="T48" s="1">
        <v>1000.0000000000002</v>
      </c>
      <c r="U48" s="1">
        <v>1500.0000000000002</v>
      </c>
      <c r="V48" s="1">
        <v>1500</v>
      </c>
      <c r="W48" s="1">
        <v>1500</v>
      </c>
      <c r="X48" s="1">
        <v>1600</v>
      </c>
      <c r="Y48" s="1">
        <v>1300</v>
      </c>
      <c r="Z48" s="1">
        <v>1623</v>
      </c>
      <c r="AA48" s="1">
        <v>1623</v>
      </c>
      <c r="AB48" s="1">
        <v>1200</v>
      </c>
      <c r="AC48" s="1">
        <v>1175</v>
      </c>
      <c r="AD48" s="1">
        <v>1100</v>
      </c>
      <c r="AE48" s="1">
        <v>1100</v>
      </c>
      <c r="AF48" s="1">
        <v>697</v>
      </c>
      <c r="AG48" s="1">
        <v>970.28826000000106</v>
      </c>
      <c r="AH48" s="1">
        <v>650</v>
      </c>
      <c r="AI48" s="1">
        <v>988.82880000000137</v>
      </c>
      <c r="AJ48" s="1">
        <v>1035.9322130232133</v>
      </c>
      <c r="AK48" s="1">
        <v>973.05061008112955</v>
      </c>
      <c r="AL48" s="1">
        <v>1147.5199304183093</v>
      </c>
      <c r="AM48" s="1">
        <v>904.8027085996199</v>
      </c>
      <c r="AN48" s="1">
        <v>958.8395269773938</v>
      </c>
      <c r="AO48" s="1">
        <v>785.24323901508888</v>
      </c>
      <c r="AP48" s="1">
        <v>695.27035372982891</v>
      </c>
      <c r="AQ48" s="1">
        <v>636.19766446305323</v>
      </c>
      <c r="AR48" s="1">
        <v>663</v>
      </c>
      <c r="AS48" s="1">
        <v>732</v>
      </c>
      <c r="AT48" s="1">
        <v>784</v>
      </c>
      <c r="AU48" s="1">
        <v>700</v>
      </c>
      <c r="AV48" s="1">
        <v>850</v>
      </c>
    </row>
    <row r="49" spans="1:48" x14ac:dyDescent="0.3">
      <c r="A49" s="4">
        <v>410025605</v>
      </c>
      <c r="B49" s="4" t="s">
        <v>120</v>
      </c>
      <c r="C49" s="4" t="str">
        <f>IFERROR(VLOOKUP(Tabela1[[#This Row],[Código]],Cadastro!$A:$J,2,0),"Sem Cadastro")</f>
        <v>ADOÇANTES</v>
      </c>
      <c r="D49" s="4" t="str">
        <f>IFERROR(VLOOKUP(Tabela1[[#This Row],[Código]],Cadastro!$A:$J,3,0),"Sem Cadastro")</f>
        <v>SUCRALOSE</v>
      </c>
      <c r="E49" s="4" t="str">
        <f>IFERROR(VLOOKUP(Tabela1[[#This Row],[Código]],Cadastro!$A:$J,4,0),"Sem Cadastro")</f>
        <v>SUCRALOSE PÓ</v>
      </c>
      <c r="F49" s="4" t="str">
        <f>IFERROR(VLOOKUP(Tabela1[[#This Row],[Código]],Cadastro!$A:$J,5,0),"Sem Cadastro")</f>
        <v>BB</v>
      </c>
      <c r="G49" s="5" t="s">
        <v>59</v>
      </c>
      <c r="H49" s="1">
        <v>0</v>
      </c>
      <c r="I49" s="1">
        <v>0</v>
      </c>
      <c r="J49" s="1">
        <v>0</v>
      </c>
      <c r="K49" s="1">
        <v>0</v>
      </c>
      <c r="L49" s="1">
        <v>397.14238425997013</v>
      </c>
      <c r="M49" s="1">
        <v>1213</v>
      </c>
      <c r="N49" s="1">
        <v>1250</v>
      </c>
      <c r="O49" s="1">
        <v>855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1000</v>
      </c>
      <c r="W49" s="1">
        <v>1000</v>
      </c>
      <c r="X49" s="1">
        <v>750</v>
      </c>
      <c r="Y49" s="1">
        <v>600</v>
      </c>
      <c r="Z49" s="1">
        <v>984</v>
      </c>
      <c r="AA49" s="1">
        <v>984</v>
      </c>
      <c r="AB49" s="1">
        <v>950</v>
      </c>
      <c r="AC49" s="1">
        <v>999</v>
      </c>
      <c r="AD49" s="1">
        <v>1000</v>
      </c>
      <c r="AE49" s="1">
        <v>800</v>
      </c>
      <c r="AF49" s="1">
        <v>750</v>
      </c>
      <c r="AG49" s="1">
        <v>748.39872000000014</v>
      </c>
      <c r="AH49" s="1">
        <v>755.72351999999978</v>
      </c>
      <c r="AI49" s="1">
        <v>699.99999999999977</v>
      </c>
      <c r="AJ49" s="1">
        <v>686.79221508004071</v>
      </c>
      <c r="AK49" s="1">
        <v>743.19290510011012</v>
      </c>
      <c r="AL49" s="1">
        <v>830.07810887321284</v>
      </c>
      <c r="AM49" s="1">
        <v>886.6699316490392</v>
      </c>
      <c r="AN49" s="1">
        <v>887.9438235957449</v>
      </c>
      <c r="AO49" s="1">
        <v>850.75243127979184</v>
      </c>
      <c r="AP49" s="1">
        <v>798.76962447104199</v>
      </c>
      <c r="AQ49" s="1">
        <v>849.14243026240763</v>
      </c>
      <c r="AR49" s="1">
        <v>769</v>
      </c>
      <c r="AS49" s="1">
        <v>859</v>
      </c>
      <c r="AT49" s="1">
        <v>955</v>
      </c>
      <c r="AU49" s="1">
        <v>870</v>
      </c>
      <c r="AV49" s="1">
        <v>890</v>
      </c>
    </row>
    <row r="50" spans="1:48" x14ac:dyDescent="0.3">
      <c r="A50" s="4">
        <v>410313564</v>
      </c>
      <c r="B50" s="4" t="s">
        <v>121</v>
      </c>
      <c r="C50" s="4" t="str">
        <f>IFERROR(VLOOKUP(Tabela1[[#This Row],[Código]],Cadastro!$A:$J,2,0),"Sem Cadastro")</f>
        <v>ALIMENTOS</v>
      </c>
      <c r="D50" s="4" t="str">
        <f>IFERROR(VLOOKUP(Tabela1[[#This Row],[Código]],Cadastro!$A:$J,3,0),"Sem Cadastro")</f>
        <v>CHOCOLATES</v>
      </c>
      <c r="E50" s="4" t="str">
        <f>IFERROR(VLOOKUP(Tabela1[[#This Row],[Código]],Cadastro!$A:$J,4,0),"Sem Cadastro")</f>
        <v>IMPULSO</v>
      </c>
      <c r="F50" s="4" t="str">
        <f>IFERROR(VLOOKUP(Tabela1[[#This Row],[Código]],Cadastro!$A:$J,5,0),"Sem Cadastro")</f>
        <v>AB</v>
      </c>
      <c r="G50" s="5" t="s">
        <v>100</v>
      </c>
      <c r="H50" s="1">
        <v>1098.9999999999998</v>
      </c>
      <c r="I50" s="1">
        <v>1588.6901497376011</v>
      </c>
      <c r="J50" s="1">
        <v>1305.1035461980421</v>
      </c>
      <c r="K50" s="1">
        <v>1292</v>
      </c>
      <c r="L50" s="1">
        <v>1366.1296864619478</v>
      </c>
      <c r="M50" s="1">
        <v>1409</v>
      </c>
      <c r="N50" s="1">
        <v>1600</v>
      </c>
      <c r="O50" s="1">
        <v>1400</v>
      </c>
      <c r="P50" s="1">
        <v>1500</v>
      </c>
      <c r="Q50" s="1">
        <v>1470.2134869148556</v>
      </c>
      <c r="R50" s="1">
        <v>1388.8430663350352</v>
      </c>
      <c r="S50" s="1">
        <v>1213</v>
      </c>
      <c r="T50" s="1">
        <v>1400</v>
      </c>
      <c r="U50" s="1">
        <v>1700</v>
      </c>
      <c r="V50" s="1">
        <v>1800</v>
      </c>
      <c r="W50" s="1">
        <v>1600</v>
      </c>
      <c r="X50" s="1">
        <v>1400</v>
      </c>
      <c r="Y50" s="1">
        <v>1500</v>
      </c>
      <c r="Z50" s="1">
        <v>1532</v>
      </c>
      <c r="AA50" s="1">
        <v>1532</v>
      </c>
      <c r="AB50" s="1">
        <v>1100</v>
      </c>
      <c r="AC50" s="1">
        <v>980</v>
      </c>
      <c r="AD50" s="1">
        <v>1000</v>
      </c>
      <c r="AE50" s="1">
        <v>900</v>
      </c>
      <c r="AF50" s="1">
        <v>1018</v>
      </c>
      <c r="AG50" s="1">
        <v>1108.6736279776233</v>
      </c>
      <c r="AH50" s="1">
        <v>1152.0821970000006</v>
      </c>
      <c r="AI50" s="1">
        <v>1099.9999999999991</v>
      </c>
      <c r="AJ50" s="1">
        <v>1049.1218271569333</v>
      </c>
      <c r="AK50" s="1">
        <v>1170.0075405966916</v>
      </c>
      <c r="AL50" s="1">
        <v>1024.5648627826745</v>
      </c>
      <c r="AM50" s="1">
        <v>1031.145015997118</v>
      </c>
      <c r="AN50" s="1">
        <v>1193.8474496741285</v>
      </c>
      <c r="AO50" s="1">
        <v>1169.8894687840577</v>
      </c>
      <c r="AP50" s="1">
        <v>1094.27199021447</v>
      </c>
      <c r="AQ50" s="1">
        <v>981.89828095634221</v>
      </c>
      <c r="AR50" s="1">
        <v>778</v>
      </c>
      <c r="AS50" s="1">
        <v>1200</v>
      </c>
      <c r="AT50" s="1">
        <v>1000</v>
      </c>
      <c r="AU50" s="1">
        <v>1099</v>
      </c>
      <c r="AV50" s="1">
        <v>1320</v>
      </c>
    </row>
    <row r="51" spans="1:48" x14ac:dyDescent="0.3">
      <c r="A51" s="4">
        <v>410251135</v>
      </c>
      <c r="B51" s="4" t="s">
        <v>122</v>
      </c>
      <c r="C51" s="4" t="str">
        <f>IFERROR(VLOOKUP(Tabela1[[#This Row],[Código]],Cadastro!$A:$J,2,0),"Sem Cadastro")</f>
        <v>ALIMENTOS</v>
      </c>
      <c r="D51" s="4" t="str">
        <f>IFERROR(VLOOKUP(Tabela1[[#This Row],[Código]],Cadastro!$A:$J,3,0),"Sem Cadastro")</f>
        <v>SOBREMESAS EM PÓ</v>
      </c>
      <c r="E51" s="4" t="str">
        <f>IFERROR(VLOOKUP(Tabela1[[#This Row],[Código]],Cadastro!$A:$J,4,0),"Sem Cadastro")</f>
        <v>GELATINA</v>
      </c>
      <c r="F51" s="4" t="str">
        <f>IFERROR(VLOOKUP(Tabela1[[#This Row],[Código]],Cadastro!$A:$J,5,0),"Sem Cadastro")</f>
        <v>CB</v>
      </c>
      <c r="G51" s="5" t="s">
        <v>70</v>
      </c>
      <c r="H51" s="1">
        <v>412.35047612963001</v>
      </c>
      <c r="I51" s="1">
        <v>456.12959788456749</v>
      </c>
      <c r="J51" s="1">
        <v>297.18219935600894</v>
      </c>
      <c r="K51" s="1">
        <v>433</v>
      </c>
      <c r="L51" s="1">
        <v>272.78466797654517</v>
      </c>
      <c r="M51" s="1">
        <v>557</v>
      </c>
      <c r="N51" s="1">
        <v>454.08333333333343</v>
      </c>
      <c r="O51" s="1">
        <v>565.85333333333335</v>
      </c>
      <c r="P51" s="1">
        <v>560.01444444444451</v>
      </c>
      <c r="Q51" s="1">
        <v>735.1067434574278</v>
      </c>
      <c r="R51" s="1">
        <v>694.42153316751762</v>
      </c>
      <c r="S51" s="1">
        <v>558</v>
      </c>
      <c r="T51" s="1">
        <v>600</v>
      </c>
      <c r="U51" s="1">
        <v>500</v>
      </c>
      <c r="V51" s="1">
        <v>658.46000000000015</v>
      </c>
      <c r="W51" s="1">
        <v>600</v>
      </c>
      <c r="X51" s="1">
        <v>500</v>
      </c>
      <c r="Y51" s="1">
        <v>500</v>
      </c>
      <c r="Z51" s="1">
        <v>511</v>
      </c>
      <c r="AA51" s="1">
        <v>511</v>
      </c>
      <c r="AB51" s="1">
        <v>500</v>
      </c>
      <c r="AC51" s="1">
        <v>490</v>
      </c>
      <c r="AD51" s="1">
        <v>550</v>
      </c>
      <c r="AE51" s="1">
        <v>450</v>
      </c>
      <c r="AF51" s="1">
        <v>536</v>
      </c>
      <c r="AG51" s="1">
        <v>488.81125750000012</v>
      </c>
      <c r="AH51" s="1">
        <v>575</v>
      </c>
      <c r="AI51" s="1">
        <v>900</v>
      </c>
      <c r="AJ51" s="1">
        <v>1248.8369836762445</v>
      </c>
      <c r="AK51" s="1">
        <v>1241.9052583263326</v>
      </c>
      <c r="AL51" s="1">
        <v>694.97559578829828</v>
      </c>
      <c r="AM51" s="1">
        <v>1670.6455190823394</v>
      </c>
      <c r="AN51" s="1">
        <v>1768.3381740186385</v>
      </c>
      <c r="AO51" s="1">
        <v>778.30372479184336</v>
      </c>
      <c r="AP51" s="1">
        <v>405.27513410060249</v>
      </c>
      <c r="AQ51" s="1">
        <v>398.28590055821076</v>
      </c>
      <c r="AR51" s="1">
        <v>662</v>
      </c>
      <c r="AS51" s="1">
        <v>800</v>
      </c>
      <c r="AT51" s="1">
        <v>773</v>
      </c>
      <c r="AU51" s="1">
        <v>539.11</v>
      </c>
      <c r="AV51" s="1">
        <v>800</v>
      </c>
    </row>
    <row r="52" spans="1:48" x14ac:dyDescent="0.3">
      <c r="A52" s="4">
        <v>410252857</v>
      </c>
      <c r="B52" s="4" t="s">
        <v>123</v>
      </c>
      <c r="C52" s="4" t="str">
        <f>IFERROR(VLOOKUP(Tabela1[[#This Row],[Código]],Cadastro!$A:$J,2,0),"Sem Cadastro")</f>
        <v>ALIMENTOS</v>
      </c>
      <c r="D52" s="4" t="str">
        <f>IFERROR(VLOOKUP(Tabela1[[#This Row],[Código]],Cadastro!$A:$J,3,0),"Sem Cadastro")</f>
        <v>SOBREMESAS EM PÓ</v>
      </c>
      <c r="E52" s="4" t="str">
        <f>IFERROR(VLOOKUP(Tabela1[[#This Row],[Código]],Cadastro!$A:$J,4,0),"Sem Cadastro")</f>
        <v>GELATINA</v>
      </c>
      <c r="F52" s="4" t="str">
        <f>IFERROR(VLOOKUP(Tabela1[[#This Row],[Código]],Cadastro!$A:$J,5,0),"Sem Cadastro")</f>
        <v>CC</v>
      </c>
      <c r="G52" s="5" t="s">
        <v>70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835.99999999999807</v>
      </c>
      <c r="AN52" s="1">
        <v>1674.522004069167</v>
      </c>
      <c r="AO52" s="1">
        <v>2393.8013648101914</v>
      </c>
      <c r="AP52" s="1">
        <v>1482.5371045297204</v>
      </c>
      <c r="AQ52" s="1">
        <v>871.62401424158315</v>
      </c>
      <c r="AR52" s="1">
        <v>233</v>
      </c>
      <c r="AS52" s="1">
        <v>800</v>
      </c>
      <c r="AT52" s="1">
        <v>578</v>
      </c>
      <c r="AU52" s="1">
        <v>391.82</v>
      </c>
      <c r="AV52" s="1">
        <v>500</v>
      </c>
    </row>
    <row r="53" spans="1:48" x14ac:dyDescent="0.3">
      <c r="A53" s="4">
        <v>410100105</v>
      </c>
      <c r="B53" s="4" t="s">
        <v>124</v>
      </c>
      <c r="C53" s="4" t="str">
        <f>IFERROR(VLOOKUP(Tabela1[[#This Row],[Código]],Cadastro!$A:$J,2,0),"Sem Cadastro")</f>
        <v>ALIMENTOS</v>
      </c>
      <c r="D53" s="4" t="str">
        <f>IFERROR(VLOOKUP(Tabela1[[#This Row],[Código]],Cadastro!$A:$J,3,0),"Sem Cadastro")</f>
        <v>BISCOITOS</v>
      </c>
      <c r="E53" s="4" t="str">
        <f>IFERROR(VLOOKUP(Tabela1[[#This Row],[Código]],Cadastro!$A:$J,4,0),"Sem Cadastro")</f>
        <v>BISCOITOS DOCES</v>
      </c>
      <c r="F53" s="4" t="str">
        <f>IFERROR(VLOOKUP(Tabela1[[#This Row],[Código]],Cadastro!$A:$J,5,0),"Sem Cadastro")</f>
        <v>BB</v>
      </c>
      <c r="G53" s="5" t="s">
        <v>125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1500</v>
      </c>
      <c r="Q53" s="1">
        <v>1700</v>
      </c>
      <c r="R53" s="1">
        <v>1736.0538329187941</v>
      </c>
      <c r="S53" s="1">
        <v>1522</v>
      </c>
      <c r="T53" s="1">
        <v>1400</v>
      </c>
      <c r="U53" s="1">
        <v>1500</v>
      </c>
      <c r="V53" s="1">
        <v>1409.1</v>
      </c>
      <c r="W53" s="1">
        <v>1400</v>
      </c>
      <c r="X53" s="1">
        <v>1100</v>
      </c>
      <c r="Y53" s="1">
        <v>1000</v>
      </c>
      <c r="Z53" s="1">
        <v>1096</v>
      </c>
      <c r="AA53" s="1">
        <v>1096</v>
      </c>
      <c r="AB53" s="1">
        <v>950</v>
      </c>
      <c r="AC53" s="1">
        <v>870</v>
      </c>
      <c r="AD53" s="1">
        <v>850</v>
      </c>
      <c r="AE53" s="1">
        <v>800</v>
      </c>
      <c r="AF53" s="1">
        <v>643</v>
      </c>
      <c r="AG53" s="1">
        <v>708.77495999999826</v>
      </c>
      <c r="AH53" s="1">
        <v>580</v>
      </c>
      <c r="AI53" s="1">
        <v>579.99999999999966</v>
      </c>
      <c r="AJ53" s="1">
        <v>801.11390687116875</v>
      </c>
      <c r="AK53" s="1">
        <v>825.15921771963349</v>
      </c>
      <c r="AL53" s="1">
        <v>548.53477932060832</v>
      </c>
      <c r="AM53" s="1">
        <v>677.85346169730815</v>
      </c>
      <c r="AN53" s="1">
        <v>800.27900821612332</v>
      </c>
      <c r="AO53" s="1">
        <v>679.58074805864385</v>
      </c>
      <c r="AP53" s="1">
        <v>519.63348316145925</v>
      </c>
      <c r="AQ53" s="1">
        <v>346.49626794022345</v>
      </c>
      <c r="AR53" s="1">
        <v>669</v>
      </c>
      <c r="AS53" s="1">
        <v>740</v>
      </c>
      <c r="AT53" s="1">
        <v>804</v>
      </c>
      <c r="AU53" s="1">
        <v>0</v>
      </c>
      <c r="AV53" s="1">
        <v>0</v>
      </c>
    </row>
    <row r="54" spans="1:48" x14ac:dyDescent="0.3">
      <c r="A54" s="4">
        <v>410313664</v>
      </c>
      <c r="B54" s="4" t="s">
        <v>126</v>
      </c>
      <c r="C54" s="4" t="str">
        <f>IFERROR(VLOOKUP(Tabela1[[#This Row],[Código]],Cadastro!$A:$J,2,0),"Sem Cadastro")</f>
        <v>ALIMENTOS</v>
      </c>
      <c r="D54" s="4" t="str">
        <f>IFERROR(VLOOKUP(Tabela1[[#This Row],[Código]],Cadastro!$A:$J,3,0),"Sem Cadastro")</f>
        <v>CHOCOLATES</v>
      </c>
      <c r="E54" s="4" t="str">
        <f>IFERROR(VLOOKUP(Tabela1[[#This Row],[Código]],Cadastro!$A:$J,4,0),"Sem Cadastro")</f>
        <v>IMPULSO</v>
      </c>
      <c r="F54" s="4" t="str">
        <f>IFERROR(VLOOKUP(Tabela1[[#This Row],[Código]],Cadastro!$A:$J,5,0),"Sem Cadastro")</f>
        <v>AB</v>
      </c>
      <c r="G54" s="5" t="s">
        <v>100</v>
      </c>
      <c r="H54" s="1">
        <v>1006.9999999999998</v>
      </c>
      <c r="I54" s="1">
        <v>1539.7650413175609</v>
      </c>
      <c r="J54" s="1">
        <v>1171.9826495721693</v>
      </c>
      <c r="K54" s="1">
        <v>1055</v>
      </c>
      <c r="L54" s="1">
        <v>1505.6911364458301</v>
      </c>
      <c r="M54" s="1">
        <v>1098</v>
      </c>
      <c r="N54" s="1">
        <v>1350</v>
      </c>
      <c r="O54" s="1">
        <v>1000</v>
      </c>
      <c r="P54" s="1">
        <v>1200</v>
      </c>
      <c r="Q54" s="1">
        <v>1102.6601151861419</v>
      </c>
      <c r="R54" s="1">
        <v>1041.6322997512764</v>
      </c>
      <c r="S54" s="1">
        <v>972</v>
      </c>
      <c r="T54" s="1">
        <v>1100</v>
      </c>
      <c r="U54" s="1">
        <v>1300</v>
      </c>
      <c r="V54" s="1">
        <v>1500</v>
      </c>
      <c r="W54" s="1">
        <v>1400</v>
      </c>
      <c r="X54" s="1">
        <v>1300</v>
      </c>
      <c r="Y54" s="1">
        <v>1200</v>
      </c>
      <c r="Z54" s="1">
        <v>1258</v>
      </c>
      <c r="AA54" s="1">
        <v>1258</v>
      </c>
      <c r="AB54" s="1">
        <v>900</v>
      </c>
      <c r="AC54" s="1">
        <v>882</v>
      </c>
      <c r="AD54" s="1">
        <v>875</v>
      </c>
      <c r="AE54" s="1">
        <v>750</v>
      </c>
      <c r="AF54" s="1">
        <v>858</v>
      </c>
      <c r="AG54" s="1">
        <v>872.48549368055023</v>
      </c>
      <c r="AH54" s="1">
        <v>897.58708200000058</v>
      </c>
      <c r="AI54" s="1">
        <v>800</v>
      </c>
      <c r="AJ54" s="1">
        <v>816.4062843538768</v>
      </c>
      <c r="AK54" s="1">
        <v>893.50890957674551</v>
      </c>
      <c r="AL54" s="1">
        <v>780.86806121432505</v>
      </c>
      <c r="AM54" s="1">
        <v>730.91101641905823</v>
      </c>
      <c r="AN54" s="1">
        <v>831.67297705710428</v>
      </c>
      <c r="AO54" s="1">
        <v>893.03817675605933</v>
      </c>
      <c r="AP54" s="1">
        <v>665.20283010178343</v>
      </c>
      <c r="AQ54" s="1">
        <v>639.1743687454366</v>
      </c>
      <c r="AR54" s="1">
        <v>631</v>
      </c>
      <c r="AS54" s="1">
        <v>1100</v>
      </c>
      <c r="AT54" s="1">
        <v>990</v>
      </c>
      <c r="AU54" s="1">
        <v>890</v>
      </c>
      <c r="AV54" s="1">
        <v>967</v>
      </c>
    </row>
    <row r="55" spans="1:48" x14ac:dyDescent="0.3">
      <c r="A55" s="4">
        <v>410272138</v>
      </c>
      <c r="B55" s="4" t="s">
        <v>127</v>
      </c>
      <c r="C55" s="4" t="str">
        <f>IFERROR(VLOOKUP(Tabela1[[#This Row],[Código]],Cadastro!$A:$J,2,0),"Sem Cadastro")</f>
        <v>ALIMENTOS</v>
      </c>
      <c r="D55" s="4" t="str">
        <f>IFERROR(VLOOKUP(Tabela1[[#This Row],[Código]],Cadastro!$A:$J,3,0),"Sem Cadastro")</f>
        <v>SOBREMESAS EM PÓ</v>
      </c>
      <c r="E55" s="4" t="str">
        <f>IFERROR(VLOOKUP(Tabela1[[#This Row],[Código]],Cadastro!$A:$J,4,0),"Sem Cadastro")</f>
        <v>PUDIM</v>
      </c>
      <c r="F55" s="4" t="str">
        <f>IFERROR(VLOOKUP(Tabela1[[#This Row],[Código]],Cadastro!$A:$J,5,0),"Sem Cadastro")</f>
        <v>CC</v>
      </c>
      <c r="G55" s="5" t="s">
        <v>113</v>
      </c>
      <c r="H55" s="1">
        <v>366.29574762684024</v>
      </c>
      <c r="I55" s="1">
        <v>417.05580109184984</v>
      </c>
      <c r="J55" s="1">
        <v>349.90881117938886</v>
      </c>
      <c r="K55" s="1">
        <v>338</v>
      </c>
      <c r="L55" s="1">
        <v>352.0125678667917</v>
      </c>
      <c r="M55" s="1">
        <v>495.00000000000006</v>
      </c>
      <c r="N55" s="1">
        <v>373.16666666666674</v>
      </c>
      <c r="O55" s="1">
        <v>457.91666666666669</v>
      </c>
      <c r="P55" s="1">
        <v>475.00000000000006</v>
      </c>
      <c r="Q55" s="1">
        <v>437</v>
      </c>
      <c r="R55" s="1">
        <v>434.01345822969853</v>
      </c>
      <c r="S55" s="1">
        <v>354</v>
      </c>
      <c r="T55" s="1">
        <v>350</v>
      </c>
      <c r="U55" s="1">
        <v>450</v>
      </c>
      <c r="V55" s="1">
        <v>500</v>
      </c>
      <c r="W55" s="1">
        <v>500</v>
      </c>
      <c r="X55" s="1">
        <v>450</v>
      </c>
      <c r="Y55" s="1">
        <v>400</v>
      </c>
      <c r="Z55" s="1">
        <v>416</v>
      </c>
      <c r="AA55" s="1">
        <v>416</v>
      </c>
      <c r="AB55" s="1">
        <v>375</v>
      </c>
      <c r="AC55" s="1">
        <v>372</v>
      </c>
      <c r="AD55" s="1">
        <v>350</v>
      </c>
      <c r="AE55" s="1">
        <v>225</v>
      </c>
      <c r="AF55" s="1">
        <v>375</v>
      </c>
      <c r="AG55" s="1">
        <v>343.29541499999999</v>
      </c>
      <c r="AH55" s="1">
        <v>380</v>
      </c>
      <c r="AI55" s="1">
        <v>490</v>
      </c>
      <c r="AJ55" s="1">
        <v>449.13293895302962</v>
      </c>
      <c r="AK55" s="1">
        <v>451.84686498244605</v>
      </c>
      <c r="AL55" s="1">
        <v>263.85582325185584</v>
      </c>
      <c r="AM55" s="1">
        <v>441.47667284821551</v>
      </c>
      <c r="AN55" s="1">
        <v>480.34214544651275</v>
      </c>
      <c r="AO55" s="1">
        <v>494.14340173049931</v>
      </c>
      <c r="AP55" s="1">
        <v>417.2931901513507</v>
      </c>
      <c r="AQ55" s="1">
        <v>282.30127773855901</v>
      </c>
      <c r="AR55" s="1">
        <v>426</v>
      </c>
      <c r="AS55" s="1">
        <v>486</v>
      </c>
      <c r="AT55" s="1">
        <v>502</v>
      </c>
      <c r="AU55" s="1">
        <v>435.6</v>
      </c>
      <c r="AV55" s="1">
        <v>455</v>
      </c>
    </row>
    <row r="56" spans="1:48" x14ac:dyDescent="0.3">
      <c r="A56" s="4">
        <v>410075564</v>
      </c>
      <c r="B56" s="4" t="s">
        <v>128</v>
      </c>
      <c r="C56" s="4" t="str">
        <f>IFERROR(VLOOKUP(Tabela1[[#This Row],[Código]],Cadastro!$A:$J,2,0),"Sem Cadastro")</f>
        <v>ALIMENTOS</v>
      </c>
      <c r="D56" s="4" t="str">
        <f>IFERROR(VLOOKUP(Tabela1[[#This Row],[Código]],Cadastro!$A:$J,3,0),"Sem Cadastro")</f>
        <v>BEBIDAS EM PÓ</v>
      </c>
      <c r="E56" s="4" t="str">
        <f>IFERROR(VLOOKUP(Tabela1[[#This Row],[Código]],Cadastro!$A:$J,4,0),"Sem Cadastro")</f>
        <v>CAPPUCCINO</v>
      </c>
      <c r="F56" s="4" t="str">
        <f>IFERROR(VLOOKUP(Tabela1[[#This Row],[Código]],Cadastro!$A:$J,5,0),"Sem Cadastro")</f>
        <v>BC</v>
      </c>
      <c r="G56" s="5" t="s">
        <v>129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1041.6322997512764</v>
      </c>
      <c r="S56" s="1">
        <v>584</v>
      </c>
      <c r="T56" s="1">
        <v>900</v>
      </c>
      <c r="U56" s="1">
        <v>1000</v>
      </c>
      <c r="V56" s="1">
        <v>1328.6399999999999</v>
      </c>
      <c r="W56" s="1">
        <v>1100</v>
      </c>
      <c r="X56" s="1">
        <v>1000</v>
      </c>
      <c r="Y56" s="1">
        <v>1000</v>
      </c>
      <c r="Z56" s="1">
        <v>761</v>
      </c>
      <c r="AA56" s="1">
        <v>761</v>
      </c>
      <c r="AB56" s="1">
        <v>800</v>
      </c>
      <c r="AC56" s="1">
        <v>735</v>
      </c>
      <c r="AD56" s="1">
        <v>600</v>
      </c>
      <c r="AE56" s="1">
        <v>500</v>
      </c>
      <c r="AF56" s="1">
        <v>536</v>
      </c>
      <c r="AG56" s="1">
        <v>506.01944499999973</v>
      </c>
      <c r="AH56" s="1">
        <v>450</v>
      </c>
      <c r="AI56" s="1">
        <v>480.00000000000034</v>
      </c>
      <c r="AJ56" s="1">
        <v>491.37857871054405</v>
      </c>
      <c r="AK56" s="1">
        <v>546.08127531307946</v>
      </c>
      <c r="AL56" s="1">
        <v>595.96881299291908</v>
      </c>
      <c r="AM56" s="1">
        <v>492.42173420360643</v>
      </c>
      <c r="AN56" s="1">
        <v>546.93404910720949</v>
      </c>
      <c r="AO56" s="1">
        <v>714.93994769303549</v>
      </c>
      <c r="AP56" s="1">
        <v>459.30799494649824</v>
      </c>
      <c r="AQ56" s="1">
        <v>471.39120737080054</v>
      </c>
      <c r="AR56" s="1">
        <v>519</v>
      </c>
      <c r="AS56" s="1">
        <v>630</v>
      </c>
      <c r="AT56" s="1">
        <v>730</v>
      </c>
      <c r="AU56" s="1">
        <v>655</v>
      </c>
      <c r="AV56" s="1">
        <v>650</v>
      </c>
    </row>
    <row r="57" spans="1:48" x14ac:dyDescent="0.3">
      <c r="A57" s="4">
        <v>410026401</v>
      </c>
      <c r="B57" s="4" t="s">
        <v>130</v>
      </c>
      <c r="C57" s="4" t="str">
        <f>IFERROR(VLOOKUP(Tabela1[[#This Row],[Código]],Cadastro!$A:$J,2,0),"Sem Cadastro")</f>
        <v>ADOÇANTES</v>
      </c>
      <c r="D57" s="4" t="str">
        <f>IFERROR(VLOOKUP(Tabela1[[#This Row],[Código]],Cadastro!$A:$J,3,0),"Sem Cadastro")</f>
        <v>STEVIA</v>
      </c>
      <c r="E57" s="4" t="str">
        <f>IFERROR(VLOOKUP(Tabela1[[#This Row],[Código]],Cadastro!$A:$J,4,0),"Sem Cadastro")</f>
        <v>STEVIA PÓ</v>
      </c>
      <c r="F57" s="4" t="str">
        <f>IFERROR(VLOOKUP(Tabela1[[#This Row],[Código]],Cadastro!$A:$J,5,0),"Sem Cadastro")</f>
        <v>BB</v>
      </c>
      <c r="G57" s="5" t="s">
        <v>74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360</v>
      </c>
      <c r="Q57" s="1">
        <v>413.49754319480314</v>
      </c>
      <c r="R57" s="1">
        <v>390.61211240672867</v>
      </c>
      <c r="S57" s="1">
        <v>629</v>
      </c>
      <c r="T57" s="1">
        <v>400</v>
      </c>
      <c r="U57" s="1">
        <v>500</v>
      </c>
      <c r="V57" s="1">
        <v>450</v>
      </c>
      <c r="W57" s="1">
        <v>450</v>
      </c>
      <c r="X57" s="1">
        <v>450</v>
      </c>
      <c r="Y57" s="1">
        <v>370</v>
      </c>
      <c r="Z57" s="1">
        <v>440</v>
      </c>
      <c r="AA57" s="1">
        <v>440</v>
      </c>
      <c r="AB57" s="1">
        <v>375</v>
      </c>
      <c r="AC57" s="1">
        <v>441</v>
      </c>
      <c r="AD57" s="1">
        <v>400</v>
      </c>
      <c r="AE57" s="1">
        <v>350</v>
      </c>
      <c r="AF57" s="1">
        <v>375</v>
      </c>
      <c r="AG57" s="1">
        <v>397.31519000000003</v>
      </c>
      <c r="AH57" s="1">
        <v>409.96854000000002</v>
      </c>
      <c r="AI57" s="1">
        <v>470</v>
      </c>
      <c r="AJ57" s="1">
        <v>349.99999999999994</v>
      </c>
      <c r="AK57" s="1">
        <v>722.64048339180431</v>
      </c>
      <c r="AL57" s="1">
        <v>843.3367210410031</v>
      </c>
      <c r="AM57" s="1">
        <v>815.91536201526935</v>
      </c>
      <c r="AN57" s="1">
        <v>812.72334525872236</v>
      </c>
      <c r="AO57" s="1">
        <v>514.09686958947736</v>
      </c>
      <c r="AP57" s="1">
        <v>973.79647444373836</v>
      </c>
      <c r="AQ57" s="1">
        <v>730.21119367376764</v>
      </c>
      <c r="AR57" s="1">
        <v>353</v>
      </c>
      <c r="AS57" s="1">
        <v>425</v>
      </c>
      <c r="AT57" s="1">
        <v>504</v>
      </c>
      <c r="AU57" s="1">
        <v>520</v>
      </c>
      <c r="AV57" s="1">
        <v>550</v>
      </c>
    </row>
    <row r="58" spans="1:48" x14ac:dyDescent="0.3">
      <c r="A58" s="4">
        <v>410313462</v>
      </c>
      <c r="B58" s="4" t="s">
        <v>131</v>
      </c>
      <c r="C58" s="4" t="str">
        <f>IFERROR(VLOOKUP(Tabela1[[#This Row],[Código]],Cadastro!$A:$J,2,0),"Sem Cadastro")</f>
        <v>ALIMENTOS</v>
      </c>
      <c r="D58" s="4" t="str">
        <f>IFERROR(VLOOKUP(Tabela1[[#This Row],[Código]],Cadastro!$A:$J,3,0),"Sem Cadastro")</f>
        <v>CHOCOLATES</v>
      </c>
      <c r="E58" s="4" t="str">
        <f>IFERROR(VLOOKUP(Tabela1[[#This Row],[Código]],Cadastro!$A:$J,4,0),"Sem Cadastro")</f>
        <v>FAMILIAR</v>
      </c>
      <c r="F58" s="4" t="str">
        <f>IFERROR(VLOOKUP(Tabela1[[#This Row],[Código]],Cadastro!$A:$J,5,0),"Sem Cadastro")</f>
        <v>AB</v>
      </c>
      <c r="G58" s="5" t="s">
        <v>100</v>
      </c>
      <c r="H58" s="1">
        <v>1176.0000000000002</v>
      </c>
      <c r="I58" s="1">
        <v>955.00000000000023</v>
      </c>
      <c r="J58" s="1">
        <v>667</v>
      </c>
      <c r="K58" s="1">
        <v>667</v>
      </c>
      <c r="L58" s="1">
        <v>668.924167427778</v>
      </c>
      <c r="M58" s="1">
        <v>667</v>
      </c>
      <c r="N58" s="1">
        <v>500</v>
      </c>
      <c r="O58" s="1">
        <v>606.5</v>
      </c>
      <c r="P58" s="1">
        <v>572.32222222222208</v>
      </c>
      <c r="Q58" s="1">
        <v>612.89524735763041</v>
      </c>
      <c r="R58" s="1">
        <v>578.97395327841775</v>
      </c>
      <c r="S58" s="1">
        <v>532</v>
      </c>
      <c r="T58" s="1">
        <v>500</v>
      </c>
      <c r="U58" s="1">
        <v>600</v>
      </c>
      <c r="V58" s="1">
        <v>667</v>
      </c>
      <c r="W58" s="1">
        <v>667</v>
      </c>
      <c r="X58" s="1">
        <v>700</v>
      </c>
      <c r="Y58" s="1">
        <v>700</v>
      </c>
      <c r="Z58" s="1">
        <v>500</v>
      </c>
      <c r="AA58" s="1">
        <v>500</v>
      </c>
      <c r="AB58" s="1">
        <v>475</v>
      </c>
      <c r="AC58" s="1">
        <v>441</v>
      </c>
      <c r="AD58" s="1">
        <v>400</v>
      </c>
      <c r="AE58" s="1">
        <v>350</v>
      </c>
      <c r="AF58" s="1">
        <v>697</v>
      </c>
      <c r="AG58" s="1">
        <v>410.35656479156933</v>
      </c>
      <c r="AH58" s="1">
        <v>577.5</v>
      </c>
      <c r="AI58" s="1">
        <v>0</v>
      </c>
      <c r="AJ58" s="1">
        <v>552.25713129083374</v>
      </c>
      <c r="AK58" s="1">
        <v>536.8186448053408</v>
      </c>
      <c r="AL58" s="1">
        <v>498.00581579570735</v>
      </c>
      <c r="AM58" s="1">
        <v>500.1110590962308</v>
      </c>
      <c r="AN58" s="1">
        <v>519.04363107575637</v>
      </c>
      <c r="AO58" s="1">
        <v>486.57288867595116</v>
      </c>
      <c r="AP58" s="1">
        <v>494.71193077826985</v>
      </c>
      <c r="AQ58" s="1">
        <v>422.94290542920788</v>
      </c>
      <c r="AR58" s="1">
        <v>389</v>
      </c>
      <c r="AS58" s="1">
        <v>700</v>
      </c>
      <c r="AT58" s="1">
        <v>531</v>
      </c>
      <c r="AU58" s="1">
        <v>456</v>
      </c>
      <c r="AV58" s="1">
        <v>590</v>
      </c>
    </row>
    <row r="59" spans="1:48" x14ac:dyDescent="0.3">
      <c r="A59" s="4">
        <v>410425715</v>
      </c>
      <c r="B59" s="4" t="s">
        <v>132</v>
      </c>
      <c r="C59" s="4" t="str">
        <f>IFERROR(VLOOKUP(Tabela1[[#This Row],[Código]],Cadastro!$A:$J,2,0),"Sem Cadastro")</f>
        <v>ALIMENTOS</v>
      </c>
      <c r="D59" s="4" t="str">
        <f>IFERROR(VLOOKUP(Tabela1[[#This Row],[Código]],Cadastro!$A:$J,3,0),"Sem Cadastro")</f>
        <v>OUTROS</v>
      </c>
      <c r="E59" s="4" t="str">
        <f>IFERROR(VLOOKUP(Tabela1[[#This Row],[Código]],Cadastro!$A:$J,4,0),"Sem Cadastro")</f>
        <v>MOLHOS</v>
      </c>
      <c r="F59" s="4" t="str">
        <f>IFERROR(VLOOKUP(Tabela1[[#This Row],[Código]],Cadastro!$A:$J,5,0),"Sem Cadastro")</f>
        <v>BC</v>
      </c>
      <c r="G59" s="5" t="s">
        <v>133</v>
      </c>
      <c r="H59" s="1">
        <v>458</v>
      </c>
      <c r="I59" s="1">
        <v>675.59095067989745</v>
      </c>
      <c r="J59" s="1">
        <v>585.61365342695501</v>
      </c>
      <c r="K59" s="1">
        <v>594</v>
      </c>
      <c r="L59" s="1">
        <v>709.03955977726991</v>
      </c>
      <c r="M59" s="1">
        <v>872</v>
      </c>
      <c r="N59" s="1">
        <v>307</v>
      </c>
      <c r="O59" s="1">
        <v>900</v>
      </c>
      <c r="P59" s="1">
        <v>700.00000000000011</v>
      </c>
      <c r="Q59" s="1">
        <v>551.33005759307093</v>
      </c>
      <c r="R59" s="1">
        <v>520.81614987563819</v>
      </c>
      <c r="S59" s="1">
        <v>581</v>
      </c>
      <c r="T59" s="1">
        <v>600</v>
      </c>
      <c r="U59" s="1">
        <v>700</v>
      </c>
      <c r="V59" s="1">
        <v>924.02999999999986</v>
      </c>
      <c r="W59" s="1">
        <v>850</v>
      </c>
      <c r="X59" s="1">
        <v>850</v>
      </c>
      <c r="Y59" s="1">
        <v>700</v>
      </c>
      <c r="Z59" s="1">
        <v>782</v>
      </c>
      <c r="AA59" s="1">
        <v>782</v>
      </c>
      <c r="AB59" s="1">
        <v>900</v>
      </c>
      <c r="AC59" s="1">
        <v>862</v>
      </c>
      <c r="AD59" s="1">
        <v>900</v>
      </c>
      <c r="AE59" s="1">
        <v>620</v>
      </c>
      <c r="AF59" s="1">
        <v>536</v>
      </c>
      <c r="AG59" s="1">
        <v>559.25794250000013</v>
      </c>
      <c r="AH59" s="1">
        <v>600</v>
      </c>
      <c r="AI59" s="1">
        <v>600.00000000000045</v>
      </c>
      <c r="AJ59" s="1">
        <v>686.1880969091012</v>
      </c>
      <c r="AK59" s="1">
        <v>720.6076507801065</v>
      </c>
      <c r="AL59" s="1">
        <v>712.28209373276866</v>
      </c>
      <c r="AM59" s="1">
        <v>640.15808109436307</v>
      </c>
      <c r="AN59" s="1">
        <v>674.58342575601296</v>
      </c>
      <c r="AO59" s="1">
        <v>795.48827478964063</v>
      </c>
      <c r="AP59" s="1">
        <v>738.0737015637784</v>
      </c>
      <c r="AQ59" s="1">
        <v>614.59461259000261</v>
      </c>
      <c r="AR59" s="1">
        <v>528</v>
      </c>
      <c r="AS59" s="1">
        <v>592</v>
      </c>
      <c r="AT59" s="1">
        <v>629</v>
      </c>
      <c r="AU59" s="1">
        <v>0</v>
      </c>
      <c r="AV59" s="1">
        <v>0</v>
      </c>
    </row>
    <row r="60" spans="1:48" x14ac:dyDescent="0.3">
      <c r="A60" s="4">
        <v>410252957</v>
      </c>
      <c r="B60" s="4" t="s">
        <v>134</v>
      </c>
      <c r="C60" s="4" t="str">
        <f>IFERROR(VLOOKUP(Tabela1[[#This Row],[Código]],Cadastro!$A:$J,2,0),"Sem Cadastro")</f>
        <v>ALIMENTOS</v>
      </c>
      <c r="D60" s="4" t="str">
        <f>IFERROR(VLOOKUP(Tabela1[[#This Row],[Código]],Cadastro!$A:$J,3,0),"Sem Cadastro")</f>
        <v>SOBREMESAS EM PÓ</v>
      </c>
      <c r="E60" s="4" t="str">
        <f>IFERROR(VLOOKUP(Tabela1[[#This Row],[Código]],Cadastro!$A:$J,4,0),"Sem Cadastro")</f>
        <v>GELATINA</v>
      </c>
      <c r="F60" s="4" t="str">
        <f>IFERROR(VLOOKUP(Tabela1[[#This Row],[Código]],Cadastro!$A:$J,5,0),"Sem Cadastro")</f>
        <v>CC</v>
      </c>
      <c r="G60" s="5" t="s">
        <v>70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765.00000000000068</v>
      </c>
      <c r="AN60" s="1">
        <v>1541.5850296751016</v>
      </c>
      <c r="AO60" s="1">
        <v>2080.5383384842394</v>
      </c>
      <c r="AP60" s="1">
        <v>1468.1134206875058</v>
      </c>
      <c r="AQ60" s="1">
        <v>862.82050570888407</v>
      </c>
      <c r="AR60" s="1">
        <v>238</v>
      </c>
      <c r="AS60" s="1">
        <v>800</v>
      </c>
      <c r="AT60" s="1">
        <v>582</v>
      </c>
      <c r="AU60" s="1">
        <v>394.68000000000006</v>
      </c>
      <c r="AV60" s="1">
        <v>500</v>
      </c>
    </row>
    <row r="61" spans="1:48" x14ac:dyDescent="0.3">
      <c r="A61" s="4">
        <v>410313481</v>
      </c>
      <c r="B61" s="4" t="s">
        <v>135</v>
      </c>
      <c r="C61" s="4" t="str">
        <f>IFERROR(VLOOKUP(Tabela1[[#This Row],[Código]],Cadastro!$A:$J,2,0),"Sem Cadastro")</f>
        <v>ALIMENTOS</v>
      </c>
      <c r="D61" s="4" t="str">
        <f>IFERROR(VLOOKUP(Tabela1[[#This Row],[Código]],Cadastro!$A:$J,3,0),"Sem Cadastro")</f>
        <v>CHOCOLATES</v>
      </c>
      <c r="E61" s="4" t="str">
        <f>IFERROR(VLOOKUP(Tabela1[[#This Row],[Código]],Cadastro!$A:$J,4,0),"Sem Cadastro")</f>
        <v>TABLETE CULINÁRIO</v>
      </c>
      <c r="F61" s="4" t="str">
        <f>IFERROR(VLOOKUP(Tabela1[[#This Row],[Código]],Cadastro!$A:$J,5,0),"Sem Cadastro")</f>
        <v>BC</v>
      </c>
      <c r="G61" s="5" t="s">
        <v>100</v>
      </c>
      <c r="H61" s="1">
        <v>733</v>
      </c>
      <c r="I61" s="1">
        <v>650</v>
      </c>
      <c r="J61" s="1">
        <v>515.94073651720339</v>
      </c>
      <c r="K61" s="1">
        <v>357</v>
      </c>
      <c r="L61" s="1">
        <v>488.46507494358855</v>
      </c>
      <c r="M61" s="1">
        <v>650</v>
      </c>
      <c r="N61" s="1">
        <v>500</v>
      </c>
      <c r="O61" s="1">
        <v>400</v>
      </c>
      <c r="P61" s="1">
        <v>194.99999999999997</v>
      </c>
      <c r="Q61" s="1">
        <v>459.44171466089239</v>
      </c>
      <c r="R61" s="1">
        <v>434.01345822969853</v>
      </c>
      <c r="S61" s="1">
        <v>353</v>
      </c>
      <c r="T61" s="1">
        <v>500.00000000000006</v>
      </c>
      <c r="U61" s="1">
        <v>500.00000000000006</v>
      </c>
      <c r="V61" s="1">
        <v>500</v>
      </c>
      <c r="W61" s="1">
        <v>550</v>
      </c>
      <c r="X61" s="1">
        <v>500</v>
      </c>
      <c r="Y61" s="1">
        <v>500</v>
      </c>
      <c r="Z61" s="1">
        <v>534</v>
      </c>
      <c r="AA61" s="1">
        <v>534</v>
      </c>
      <c r="AB61" s="1">
        <v>250</v>
      </c>
      <c r="AC61" s="1">
        <v>245</v>
      </c>
      <c r="AD61" s="1">
        <v>212</v>
      </c>
      <c r="AE61" s="1">
        <v>175</v>
      </c>
      <c r="AF61" s="1">
        <v>483</v>
      </c>
      <c r="AG61" s="1">
        <v>392.09828526956204</v>
      </c>
      <c r="AH61" s="1">
        <v>472.5</v>
      </c>
      <c r="AI61" s="1">
        <v>480.0000000000004</v>
      </c>
      <c r="AJ61" s="1">
        <v>471.02205860405786</v>
      </c>
      <c r="AK61" s="1">
        <v>438.74600777359547</v>
      </c>
      <c r="AL61" s="1">
        <v>380.65160428978834</v>
      </c>
      <c r="AM61" s="1">
        <v>394.65277083022227</v>
      </c>
      <c r="AN61" s="1">
        <v>456.71407631060157</v>
      </c>
      <c r="AO61" s="1">
        <v>448.36266529155444</v>
      </c>
      <c r="AP61" s="1">
        <v>285.33772355922304</v>
      </c>
      <c r="AQ61" s="1">
        <v>187.43701094516544</v>
      </c>
      <c r="AR61" s="1">
        <v>283</v>
      </c>
      <c r="AS61" s="1">
        <v>300</v>
      </c>
      <c r="AT61" s="1">
        <v>270</v>
      </c>
      <c r="AU61" s="1">
        <v>530</v>
      </c>
      <c r="AV61" s="1">
        <v>370</v>
      </c>
    </row>
    <row r="62" spans="1:48" x14ac:dyDescent="0.3">
      <c r="A62" s="4">
        <v>410270338</v>
      </c>
      <c r="B62" s="4" t="s">
        <v>136</v>
      </c>
      <c r="C62" s="4" t="str">
        <f>IFERROR(VLOOKUP(Tabela1[[#This Row],[Código]],Cadastro!$A:$J,2,0),"Sem Cadastro")</f>
        <v>ALIMENTOS</v>
      </c>
      <c r="D62" s="4" t="str">
        <f>IFERROR(VLOOKUP(Tabela1[[#This Row],[Código]],Cadastro!$A:$J,3,0),"Sem Cadastro")</f>
        <v>SOBREMESAS EM PÓ</v>
      </c>
      <c r="E62" s="4" t="str">
        <f>IFERROR(VLOOKUP(Tabela1[[#This Row],[Código]],Cadastro!$A:$J,4,0),"Sem Cadastro")</f>
        <v>PUDIM</v>
      </c>
      <c r="F62" s="4" t="str">
        <f>IFERROR(VLOOKUP(Tabela1[[#This Row],[Código]],Cadastro!$A:$J,5,0),"Sem Cadastro")</f>
        <v>CC</v>
      </c>
      <c r="G62" s="5" t="s">
        <v>113</v>
      </c>
      <c r="H62" s="1">
        <v>366.29574762684035</v>
      </c>
      <c r="I62" s="1">
        <v>367.44763066126609</v>
      </c>
      <c r="J62" s="1">
        <v>317.66899778139941</v>
      </c>
      <c r="K62" s="1">
        <v>370</v>
      </c>
      <c r="L62" s="1">
        <v>337.97218054446955</v>
      </c>
      <c r="M62" s="1">
        <v>451.00000000000006</v>
      </c>
      <c r="N62" s="1">
        <v>386.24999999999994</v>
      </c>
      <c r="O62" s="1">
        <v>488.58333333333337</v>
      </c>
      <c r="P62" s="1">
        <v>476.13888888888891</v>
      </c>
      <c r="Q62" s="1">
        <v>505.38588612698163</v>
      </c>
      <c r="R62" s="1">
        <v>477.41480405266833</v>
      </c>
      <c r="S62" s="1">
        <v>381</v>
      </c>
      <c r="T62" s="1">
        <v>360</v>
      </c>
      <c r="U62" s="1">
        <v>450</v>
      </c>
      <c r="V62" s="1">
        <v>147</v>
      </c>
      <c r="W62" s="1">
        <v>0</v>
      </c>
      <c r="X62" s="1">
        <v>500</v>
      </c>
      <c r="Y62" s="1">
        <v>450</v>
      </c>
      <c r="Z62" s="1">
        <v>352</v>
      </c>
      <c r="AA62" s="1">
        <v>352</v>
      </c>
      <c r="AB62" s="1">
        <v>350</v>
      </c>
      <c r="AC62" s="1">
        <v>338</v>
      </c>
      <c r="AD62" s="1">
        <v>354</v>
      </c>
      <c r="AE62" s="1">
        <v>250</v>
      </c>
      <c r="AF62" s="1">
        <v>322</v>
      </c>
      <c r="AG62" s="1">
        <v>317.49246500000004</v>
      </c>
      <c r="AH62" s="1">
        <v>400</v>
      </c>
      <c r="AI62" s="1">
        <v>500.00000000000011</v>
      </c>
      <c r="AJ62" s="1">
        <v>480.34678666901715</v>
      </c>
      <c r="AK62" s="1">
        <v>488.68590151924263</v>
      </c>
      <c r="AL62" s="1">
        <v>303.17069494377779</v>
      </c>
      <c r="AM62" s="1">
        <v>528.12675813585383</v>
      </c>
      <c r="AN62" s="1">
        <v>520.19588633351589</v>
      </c>
      <c r="AO62" s="1">
        <v>294.89204477857629</v>
      </c>
      <c r="AP62" s="1">
        <v>253.80416125096809</v>
      </c>
      <c r="AQ62" s="1">
        <v>205.03916229519089</v>
      </c>
      <c r="AR62" s="1">
        <v>365</v>
      </c>
      <c r="AS62" s="1">
        <v>418</v>
      </c>
      <c r="AT62" s="1">
        <v>431</v>
      </c>
      <c r="AU62" s="1">
        <v>306</v>
      </c>
      <c r="AV62" s="1">
        <v>465</v>
      </c>
    </row>
    <row r="63" spans="1:48" x14ac:dyDescent="0.3">
      <c r="A63" s="4">
        <v>410100305</v>
      </c>
      <c r="B63" s="4" t="s">
        <v>137</v>
      </c>
      <c r="C63" s="4" t="str">
        <f>IFERROR(VLOOKUP(Tabela1[[#This Row],[Código]],Cadastro!$A:$J,2,0),"Sem Cadastro")</f>
        <v>ALIMENTOS</v>
      </c>
      <c r="D63" s="4" t="str">
        <f>IFERROR(VLOOKUP(Tabela1[[#This Row],[Código]],Cadastro!$A:$J,3,0),"Sem Cadastro")</f>
        <v>BISCOITOS</v>
      </c>
      <c r="E63" s="4" t="str">
        <f>IFERROR(VLOOKUP(Tabela1[[#This Row],[Código]],Cadastro!$A:$J,4,0),"Sem Cadastro")</f>
        <v>BISCOITOS DOCES</v>
      </c>
      <c r="F63" s="4" t="str">
        <f>IFERROR(VLOOKUP(Tabela1[[#This Row],[Código]],Cadastro!$A:$J,5,0),"Sem Cadastro")</f>
        <v>CC</v>
      </c>
      <c r="G63" s="5" t="s">
        <v>125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1099.9999999999998</v>
      </c>
      <c r="Q63" s="1">
        <v>1299.9999999999998</v>
      </c>
      <c r="R63" s="1">
        <v>1475.6457579809748</v>
      </c>
      <c r="S63" s="1">
        <v>1014</v>
      </c>
      <c r="T63" s="1">
        <v>1000</v>
      </c>
      <c r="U63" s="1">
        <v>1200</v>
      </c>
      <c r="V63" s="1">
        <v>1000</v>
      </c>
      <c r="W63" s="1">
        <v>1000</v>
      </c>
      <c r="X63" s="1">
        <v>850</v>
      </c>
      <c r="Y63" s="1">
        <v>900</v>
      </c>
      <c r="Z63" s="1">
        <v>932</v>
      </c>
      <c r="AA63" s="1">
        <v>932</v>
      </c>
      <c r="AB63" s="1">
        <v>850</v>
      </c>
      <c r="AC63" s="1">
        <v>693</v>
      </c>
      <c r="AD63" s="1">
        <v>736</v>
      </c>
      <c r="AE63" s="1">
        <v>700</v>
      </c>
      <c r="AF63" s="1">
        <v>536</v>
      </c>
      <c r="AG63" s="1">
        <v>549.35744999999974</v>
      </c>
      <c r="AH63" s="1">
        <v>430</v>
      </c>
      <c r="AI63" s="1">
        <v>430.00000000000017</v>
      </c>
      <c r="AJ63" s="1">
        <v>564.88250357814593</v>
      </c>
      <c r="AK63" s="1">
        <v>533.8363955205424</v>
      </c>
      <c r="AL63" s="1">
        <v>410.17242840278914</v>
      </c>
      <c r="AM63" s="1">
        <v>533.7541037676159</v>
      </c>
      <c r="AN63" s="1">
        <v>632.54142375465995</v>
      </c>
      <c r="AO63" s="1">
        <v>290.95089086343506</v>
      </c>
      <c r="AP63" s="1">
        <v>292.54973874853727</v>
      </c>
      <c r="AQ63" s="1">
        <v>208.01937405818234</v>
      </c>
      <c r="AR63" s="1">
        <v>330</v>
      </c>
      <c r="AS63" s="1">
        <v>364</v>
      </c>
      <c r="AT63" s="1">
        <v>0</v>
      </c>
      <c r="AU63" s="1">
        <v>0</v>
      </c>
      <c r="AV63" s="1">
        <v>0</v>
      </c>
    </row>
    <row r="64" spans="1:48" x14ac:dyDescent="0.3">
      <c r="A64" s="4">
        <v>410313662</v>
      </c>
      <c r="B64" s="4" t="s">
        <v>138</v>
      </c>
      <c r="C64" s="4" t="str">
        <f>IFERROR(VLOOKUP(Tabela1[[#This Row],[Código]],Cadastro!$A:$J,2,0),"Sem Cadastro")</f>
        <v>ALIMENTOS</v>
      </c>
      <c r="D64" s="4" t="str">
        <f>IFERROR(VLOOKUP(Tabela1[[#This Row],[Código]],Cadastro!$A:$J,3,0),"Sem Cadastro")</f>
        <v>CHOCOLATES</v>
      </c>
      <c r="E64" s="4" t="str">
        <f>IFERROR(VLOOKUP(Tabela1[[#This Row],[Código]],Cadastro!$A:$J,4,0),"Sem Cadastro")</f>
        <v>FAMILIAR</v>
      </c>
      <c r="F64" s="4" t="str">
        <f>IFERROR(VLOOKUP(Tabela1[[#This Row],[Código]],Cadastro!$A:$J,5,0),"Sem Cadastro")</f>
        <v>AB</v>
      </c>
      <c r="G64" s="5" t="s">
        <v>100</v>
      </c>
      <c r="H64" s="1">
        <v>979.99999999999966</v>
      </c>
      <c r="I64" s="1">
        <v>860.00000000000011</v>
      </c>
      <c r="J64" s="1">
        <v>667</v>
      </c>
      <c r="K64" s="1">
        <v>667</v>
      </c>
      <c r="L64" s="1">
        <v>668.924167427778</v>
      </c>
      <c r="M64" s="1">
        <v>667</v>
      </c>
      <c r="N64" s="1">
        <v>500</v>
      </c>
      <c r="O64" s="1">
        <v>602.33333333333326</v>
      </c>
      <c r="P64" s="1">
        <v>568.02222222222213</v>
      </c>
      <c r="Q64" s="1">
        <v>612.89524735763041</v>
      </c>
      <c r="R64" s="1">
        <v>578.97395327841775</v>
      </c>
      <c r="S64" s="1">
        <v>546</v>
      </c>
      <c r="T64" s="1">
        <v>450</v>
      </c>
      <c r="U64" s="1">
        <v>500</v>
      </c>
      <c r="V64" s="1">
        <v>600</v>
      </c>
      <c r="W64" s="1">
        <v>650</v>
      </c>
      <c r="X64" s="1">
        <v>650</v>
      </c>
      <c r="Y64" s="1">
        <v>650</v>
      </c>
      <c r="Z64" s="1">
        <v>474</v>
      </c>
      <c r="AA64" s="1">
        <v>474</v>
      </c>
      <c r="AB64" s="1">
        <v>475</v>
      </c>
      <c r="AC64" s="1">
        <v>441</v>
      </c>
      <c r="AD64" s="1">
        <v>400</v>
      </c>
      <c r="AE64" s="1">
        <v>350</v>
      </c>
      <c r="AF64" s="1">
        <v>375</v>
      </c>
      <c r="AG64" s="1">
        <v>375.07671001579575</v>
      </c>
      <c r="AH64" s="1">
        <v>420</v>
      </c>
      <c r="AI64" s="1">
        <v>380.00000000000017</v>
      </c>
      <c r="AJ64" s="1">
        <v>413.59733969632248</v>
      </c>
      <c r="AK64" s="1">
        <v>440.8106948690006</v>
      </c>
      <c r="AL64" s="1">
        <v>409.91212295889113</v>
      </c>
      <c r="AM64" s="1">
        <v>435.39348974416271</v>
      </c>
      <c r="AN64" s="1">
        <v>445.26480843633095</v>
      </c>
      <c r="AO64" s="1">
        <v>366.9056384494757</v>
      </c>
      <c r="AP64" s="1">
        <v>513.4712650587087</v>
      </c>
      <c r="AQ64" s="1">
        <v>453.24226673391797</v>
      </c>
      <c r="AR64" s="1">
        <v>321</v>
      </c>
      <c r="AS64" s="1">
        <v>700</v>
      </c>
      <c r="AT64" s="1">
        <v>434</v>
      </c>
      <c r="AU64" s="1">
        <v>376</v>
      </c>
      <c r="AV64" s="1">
        <v>500</v>
      </c>
    </row>
    <row r="65" spans="1:48" x14ac:dyDescent="0.3">
      <c r="A65" s="4">
        <v>410043057</v>
      </c>
      <c r="B65" s="4" t="s">
        <v>139</v>
      </c>
      <c r="C65" s="4" t="str">
        <f>IFERROR(VLOOKUP(Tabela1[[#This Row],[Código]],Cadastro!$A:$J,2,0),"Sem Cadastro")</f>
        <v>ALIMENTOS</v>
      </c>
      <c r="D65" s="4" t="str">
        <f>IFERROR(VLOOKUP(Tabela1[[#This Row],[Código]],Cadastro!$A:$J,3,0),"Sem Cadastro")</f>
        <v>GELEIAS</v>
      </c>
      <c r="E65" s="4" t="str">
        <f>IFERROR(VLOOKUP(Tabela1[[#This Row],[Código]],Cadastro!$A:$J,4,0),"Sem Cadastro")</f>
        <v>GELEIA DE FRUTAS</v>
      </c>
      <c r="F65" s="4" t="str">
        <f>IFERROR(VLOOKUP(Tabela1[[#This Row],[Código]],Cadastro!$A:$J,5,0),"Sem Cadastro")</f>
        <v>BB</v>
      </c>
      <c r="G65" s="5" t="s">
        <v>66</v>
      </c>
      <c r="H65" s="1">
        <v>411.17875831522548</v>
      </c>
      <c r="I65" s="1">
        <v>623.62439445380278</v>
      </c>
      <c r="J65" s="1">
        <v>563.54858539822828</v>
      </c>
      <c r="K65" s="1">
        <v>600</v>
      </c>
      <c r="L65" s="1">
        <v>444.2779702706232</v>
      </c>
      <c r="M65" s="1">
        <v>773</v>
      </c>
      <c r="N65" s="1">
        <v>770</v>
      </c>
      <c r="O65" s="1">
        <v>750</v>
      </c>
      <c r="P65" s="1">
        <v>738.17444444444436</v>
      </c>
      <c r="Q65" s="1">
        <v>955</v>
      </c>
      <c r="R65" s="1">
        <v>900</v>
      </c>
      <c r="S65" s="1">
        <v>741</v>
      </c>
      <c r="T65" s="1">
        <v>800</v>
      </c>
      <c r="U65" s="1">
        <v>899.99999999999989</v>
      </c>
      <c r="V65" s="1">
        <v>900</v>
      </c>
      <c r="W65" s="1">
        <v>850</v>
      </c>
      <c r="X65" s="1">
        <v>850</v>
      </c>
      <c r="Y65" s="1">
        <v>800</v>
      </c>
      <c r="Z65" s="1">
        <v>674</v>
      </c>
      <c r="AA65" s="1">
        <v>674</v>
      </c>
      <c r="AB65" s="1">
        <v>450</v>
      </c>
      <c r="AC65" s="1">
        <v>441</v>
      </c>
      <c r="AD65" s="1">
        <v>400</v>
      </c>
      <c r="AE65" s="1">
        <v>400</v>
      </c>
      <c r="AF65" s="1">
        <v>429</v>
      </c>
      <c r="AG65" s="1">
        <v>438.90504250000032</v>
      </c>
      <c r="AH65" s="1">
        <v>466.20730500000002</v>
      </c>
      <c r="AI65" s="1">
        <v>359.99999999999989</v>
      </c>
      <c r="AJ65" s="1">
        <v>402.45983166949264</v>
      </c>
      <c r="AK65" s="1">
        <v>490.22128490160645</v>
      </c>
      <c r="AL65" s="1">
        <v>531.62755219816086</v>
      </c>
      <c r="AM65" s="1">
        <v>495.00899543736551</v>
      </c>
      <c r="AN65" s="1">
        <v>487.76632858200128</v>
      </c>
      <c r="AO65" s="1">
        <v>374.84448464478737</v>
      </c>
      <c r="AP65" s="1">
        <v>346.91982563915042</v>
      </c>
      <c r="AQ65" s="1">
        <v>284.56743865917485</v>
      </c>
      <c r="AR65" s="1">
        <v>299</v>
      </c>
      <c r="AS65" s="1">
        <v>330</v>
      </c>
      <c r="AT65" s="1">
        <v>354</v>
      </c>
      <c r="AU65" s="1">
        <v>380</v>
      </c>
      <c r="AV65" s="1">
        <v>385</v>
      </c>
    </row>
    <row r="66" spans="1:48" x14ac:dyDescent="0.3">
      <c r="A66" s="4">
        <v>410100205</v>
      </c>
      <c r="B66" s="4" t="s">
        <v>140</v>
      </c>
      <c r="C66" s="4" t="str">
        <f>IFERROR(VLOOKUP(Tabela1[[#This Row],[Código]],Cadastro!$A:$J,2,0),"Sem Cadastro")</f>
        <v>ALIMENTOS</v>
      </c>
      <c r="D66" s="4" t="str">
        <f>IFERROR(VLOOKUP(Tabela1[[#This Row],[Código]],Cadastro!$A:$J,3,0),"Sem Cadastro")</f>
        <v>BISCOITOS</v>
      </c>
      <c r="E66" s="4" t="str">
        <f>IFERROR(VLOOKUP(Tabela1[[#This Row],[Código]],Cadastro!$A:$J,4,0),"Sem Cadastro")</f>
        <v>BISCOITOS DOCES</v>
      </c>
      <c r="F66" s="4" t="str">
        <f>IFERROR(VLOOKUP(Tabela1[[#This Row],[Código]],Cadastro!$A:$J,5,0),"Sem Cadastro")</f>
        <v>CC</v>
      </c>
      <c r="G66" s="5" t="s">
        <v>125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1100</v>
      </c>
      <c r="Q66" s="1">
        <v>1500</v>
      </c>
      <c r="R66" s="1">
        <v>1736.0538329187941</v>
      </c>
      <c r="S66" s="1">
        <v>1217</v>
      </c>
      <c r="T66" s="1">
        <v>1200</v>
      </c>
      <c r="U66" s="1">
        <v>1300</v>
      </c>
      <c r="V66" s="1">
        <v>1200</v>
      </c>
      <c r="W66" s="1">
        <v>1200</v>
      </c>
      <c r="X66" s="1">
        <v>900</v>
      </c>
      <c r="Y66" s="1">
        <v>1100</v>
      </c>
      <c r="Z66" s="1">
        <v>841</v>
      </c>
      <c r="AA66" s="1">
        <v>841</v>
      </c>
      <c r="AB66" s="1">
        <v>750</v>
      </c>
      <c r="AC66" s="1">
        <v>789</v>
      </c>
      <c r="AD66" s="1">
        <v>750</v>
      </c>
      <c r="AE66" s="1">
        <v>750</v>
      </c>
      <c r="AF66" s="1">
        <v>483</v>
      </c>
      <c r="AG66" s="1">
        <v>545.97380999999984</v>
      </c>
      <c r="AH66" s="1">
        <v>450</v>
      </c>
      <c r="AI66" s="1">
        <v>420.00000000000091</v>
      </c>
      <c r="AJ66" s="1">
        <v>585.136144161223</v>
      </c>
      <c r="AK66" s="1">
        <v>590.9449750455401</v>
      </c>
      <c r="AL66" s="1">
        <v>418.80272817536883</v>
      </c>
      <c r="AM66" s="1">
        <v>568.54087241320428</v>
      </c>
      <c r="AN66" s="1">
        <v>646.1289587057438</v>
      </c>
      <c r="AO66" s="1">
        <v>288.79696892113054</v>
      </c>
      <c r="AP66" s="1">
        <v>331.43965322195959</v>
      </c>
      <c r="AQ66" s="1">
        <v>260.52802035041702</v>
      </c>
      <c r="AR66" s="1">
        <v>293</v>
      </c>
      <c r="AS66" s="1">
        <v>324</v>
      </c>
      <c r="AT66" s="1">
        <v>0</v>
      </c>
      <c r="AU66" s="1">
        <v>0</v>
      </c>
      <c r="AV66" s="1">
        <v>0</v>
      </c>
    </row>
    <row r="67" spans="1:48" x14ac:dyDescent="0.3">
      <c r="A67" s="4">
        <v>410270138</v>
      </c>
      <c r="B67" s="4" t="s">
        <v>141</v>
      </c>
      <c r="C67" s="4" t="str">
        <f>IFERROR(VLOOKUP(Tabela1[[#This Row],[Código]],Cadastro!$A:$J,2,0),"Sem Cadastro")</f>
        <v>ALIMENTOS</v>
      </c>
      <c r="D67" s="4" t="str">
        <f>IFERROR(VLOOKUP(Tabela1[[#This Row],[Código]],Cadastro!$A:$J,3,0),"Sem Cadastro")</f>
        <v>SOBREMESAS EM PÓ</v>
      </c>
      <c r="E67" s="4" t="str">
        <f>IFERROR(VLOOKUP(Tabela1[[#This Row],[Código]],Cadastro!$A:$J,4,0),"Sem Cadastro")</f>
        <v>PUDIM</v>
      </c>
      <c r="F67" s="4" t="str">
        <f>IFERROR(VLOOKUP(Tabela1[[#This Row],[Código]],Cadastro!$A:$J,5,0),"Sem Cadastro")</f>
        <v>CC</v>
      </c>
      <c r="G67" s="5" t="s">
        <v>113</v>
      </c>
      <c r="H67" s="1">
        <v>247.41028567777815</v>
      </c>
      <c r="I67" s="1">
        <v>311.84897130798913</v>
      </c>
      <c r="J67" s="1">
        <v>264.0773731359144</v>
      </c>
      <c r="K67" s="1">
        <v>306</v>
      </c>
      <c r="L67" s="1">
        <v>212.61157945230727</v>
      </c>
      <c r="M67" s="1">
        <v>418.00000000000006</v>
      </c>
      <c r="N67" s="1">
        <v>308.25</v>
      </c>
      <c r="O67" s="1">
        <v>370</v>
      </c>
      <c r="P67" s="1">
        <v>400.00000000000006</v>
      </c>
      <c r="Q67" s="1">
        <v>367.5533717287139</v>
      </c>
      <c r="R67" s="1">
        <v>347.21076658375881</v>
      </c>
      <c r="S67" s="1">
        <v>288</v>
      </c>
      <c r="T67" s="1">
        <v>250</v>
      </c>
      <c r="U67" s="1">
        <v>320</v>
      </c>
      <c r="V67" s="1">
        <v>300</v>
      </c>
      <c r="W67" s="1">
        <v>300</v>
      </c>
      <c r="X67" s="1">
        <v>300</v>
      </c>
      <c r="Y67" s="1">
        <v>350</v>
      </c>
      <c r="Z67" s="1">
        <v>332</v>
      </c>
      <c r="AA67" s="1">
        <v>332</v>
      </c>
      <c r="AB67" s="1">
        <v>275</v>
      </c>
      <c r="AC67" s="1">
        <v>267</v>
      </c>
      <c r="AD67" s="1">
        <v>225</v>
      </c>
      <c r="AE67" s="1">
        <v>160</v>
      </c>
      <c r="AF67" s="1">
        <v>268</v>
      </c>
      <c r="AG67" s="1">
        <v>277.88215000000008</v>
      </c>
      <c r="AH67" s="1">
        <v>400</v>
      </c>
      <c r="AI67" s="1">
        <v>490.00000000000028</v>
      </c>
      <c r="AJ67" s="1">
        <v>411.51739568914388</v>
      </c>
      <c r="AK67" s="1">
        <v>406.78699184436408</v>
      </c>
      <c r="AL67" s="1">
        <v>227.64822145583716</v>
      </c>
      <c r="AM67" s="1">
        <v>388.4086350713664</v>
      </c>
      <c r="AN67" s="1">
        <v>430.86579235842044</v>
      </c>
      <c r="AO67" s="1">
        <v>396.06786390002196</v>
      </c>
      <c r="AP67" s="1">
        <v>323.43978024629064</v>
      </c>
      <c r="AQ67" s="1">
        <v>239.1982708292058</v>
      </c>
      <c r="AR67" s="1">
        <v>326</v>
      </c>
      <c r="AS67" s="1">
        <v>380</v>
      </c>
      <c r="AT67" s="1">
        <v>391</v>
      </c>
      <c r="AU67" s="1">
        <v>328.5</v>
      </c>
      <c r="AV67" s="1">
        <v>347</v>
      </c>
    </row>
    <row r="68" spans="1:48" x14ac:dyDescent="0.3">
      <c r="A68" s="4">
        <v>410040457</v>
      </c>
      <c r="B68" s="4" t="s">
        <v>142</v>
      </c>
      <c r="C68" s="4" t="str">
        <f>IFERROR(VLOOKUP(Tabela1[[#This Row],[Código]],Cadastro!$A:$J,2,0),"Sem Cadastro")</f>
        <v>ALIMENTOS</v>
      </c>
      <c r="D68" s="4" t="str">
        <f>IFERROR(VLOOKUP(Tabela1[[#This Row],[Código]],Cadastro!$A:$J,3,0),"Sem Cadastro")</f>
        <v>GELEIAS</v>
      </c>
      <c r="E68" s="4" t="str">
        <f>IFERROR(VLOOKUP(Tabela1[[#This Row],[Código]],Cadastro!$A:$J,4,0),"Sem Cadastro")</f>
        <v>GELEIA DE FRUTAS</v>
      </c>
      <c r="F68" s="4" t="str">
        <f>IFERROR(VLOOKUP(Tabela1[[#This Row],[Código]],Cadastro!$A:$J,5,0),"Sem Cadastro")</f>
        <v>BB</v>
      </c>
      <c r="G68" s="5" t="s">
        <v>66</v>
      </c>
      <c r="H68" s="1">
        <v>638.57307162591849</v>
      </c>
      <c r="I68" s="1">
        <v>867.19643668499555</v>
      </c>
      <c r="J68" s="1">
        <v>742.29034313979719</v>
      </c>
      <c r="K68" s="1">
        <v>641</v>
      </c>
      <c r="L68" s="1">
        <v>732.1059103782278</v>
      </c>
      <c r="M68" s="1">
        <v>658</v>
      </c>
      <c r="N68" s="1">
        <v>810</v>
      </c>
      <c r="O68" s="1">
        <v>890</v>
      </c>
      <c r="P68" s="1">
        <v>887.52555555555568</v>
      </c>
      <c r="Q68" s="1">
        <v>749.99999999999989</v>
      </c>
      <c r="R68" s="1">
        <v>800</v>
      </c>
      <c r="S68" s="1">
        <v>617</v>
      </c>
      <c r="T68" s="1">
        <v>700.00000000000011</v>
      </c>
      <c r="U68" s="1">
        <v>800</v>
      </c>
      <c r="V68" s="1">
        <v>855.47000000000071</v>
      </c>
      <c r="W68" s="1">
        <v>0</v>
      </c>
      <c r="X68" s="1">
        <v>900</v>
      </c>
      <c r="Y68" s="1">
        <v>0</v>
      </c>
      <c r="Z68" s="1">
        <v>358</v>
      </c>
      <c r="AA68" s="1">
        <v>358</v>
      </c>
      <c r="AB68" s="1">
        <v>1000</v>
      </c>
      <c r="AC68" s="1">
        <v>936</v>
      </c>
      <c r="AD68" s="1">
        <v>1000</v>
      </c>
      <c r="AE68" s="1">
        <v>1000</v>
      </c>
      <c r="AF68" s="1">
        <v>643</v>
      </c>
      <c r="AG68" s="1">
        <v>432.79758250000026</v>
      </c>
      <c r="AH68" s="1">
        <v>500</v>
      </c>
      <c r="AI68" s="1">
        <v>441.06760000000003</v>
      </c>
      <c r="AJ68" s="1">
        <v>430.39064440208261</v>
      </c>
      <c r="AK68" s="1">
        <v>433.58429003508235</v>
      </c>
      <c r="AL68" s="1">
        <v>448.62441618775586</v>
      </c>
      <c r="AM68" s="1">
        <v>374.16717432861418</v>
      </c>
      <c r="AN68" s="1">
        <v>464.39640017667404</v>
      </c>
      <c r="AO68" s="1">
        <v>410.23038801520937</v>
      </c>
      <c r="AP68" s="1">
        <v>449.13484562659659</v>
      </c>
      <c r="AQ68" s="1">
        <v>377.98585158165787</v>
      </c>
      <c r="AR68" s="1">
        <v>326</v>
      </c>
      <c r="AS68" s="1">
        <v>363</v>
      </c>
      <c r="AT68" s="1">
        <v>393</v>
      </c>
      <c r="AU68" s="1">
        <v>430</v>
      </c>
      <c r="AV68" s="1">
        <v>450</v>
      </c>
    </row>
    <row r="69" spans="1:48" x14ac:dyDescent="0.3">
      <c r="A69" s="4">
        <v>410272038</v>
      </c>
      <c r="B69" s="4" t="s">
        <v>143</v>
      </c>
      <c r="C69" s="4" t="str">
        <f>IFERROR(VLOOKUP(Tabela1[[#This Row],[Código]],Cadastro!$A:$J,2,0),"Sem Cadastro")</f>
        <v>ALIMENTOS</v>
      </c>
      <c r="D69" s="4" t="str">
        <f>IFERROR(VLOOKUP(Tabela1[[#This Row],[Código]],Cadastro!$A:$J,3,0),"Sem Cadastro")</f>
        <v>SOBREMESAS EM PÓ</v>
      </c>
      <c r="E69" s="4" t="str">
        <f>IFERROR(VLOOKUP(Tabela1[[#This Row],[Código]],Cadastro!$A:$J,4,0),"Sem Cadastro")</f>
        <v>PUDIM</v>
      </c>
      <c r="F69" s="4" t="str">
        <f>IFERROR(VLOOKUP(Tabela1[[#This Row],[Código]],Cadastro!$A:$J,5,0),"Sem Cadastro")</f>
        <v>CC</v>
      </c>
      <c r="G69" s="5" t="s">
        <v>113</v>
      </c>
      <c r="H69" s="1">
        <v>229.20260231621</v>
      </c>
      <c r="I69" s="1">
        <v>287.64498393365625</v>
      </c>
      <c r="J69" s="1">
        <v>280.28808176486353</v>
      </c>
      <c r="K69" s="1">
        <v>315</v>
      </c>
      <c r="L69" s="1">
        <v>295.851018577503</v>
      </c>
      <c r="M69" s="1">
        <v>374.00000000000006</v>
      </c>
      <c r="N69" s="1">
        <v>242.50000000000003</v>
      </c>
      <c r="O69" s="1">
        <v>300</v>
      </c>
      <c r="P69" s="1">
        <v>300</v>
      </c>
      <c r="Q69" s="1">
        <v>321.60920026262465</v>
      </c>
      <c r="R69" s="1">
        <v>303.80942076078895</v>
      </c>
      <c r="S69" s="1">
        <v>245</v>
      </c>
      <c r="T69" s="1">
        <v>250</v>
      </c>
      <c r="U69" s="1">
        <v>325</v>
      </c>
      <c r="V69" s="1">
        <v>400</v>
      </c>
      <c r="W69" s="1">
        <v>350</v>
      </c>
      <c r="X69" s="1">
        <v>350</v>
      </c>
      <c r="Y69" s="1">
        <v>325</v>
      </c>
      <c r="Z69" s="1">
        <v>297</v>
      </c>
      <c r="AA69" s="1">
        <v>297</v>
      </c>
      <c r="AB69" s="1">
        <v>275</v>
      </c>
      <c r="AC69" s="1">
        <v>255</v>
      </c>
      <c r="AD69" s="1">
        <v>240</v>
      </c>
      <c r="AE69" s="1">
        <v>180</v>
      </c>
      <c r="AF69" s="1">
        <v>295</v>
      </c>
      <c r="AG69" s="1">
        <v>259.10337999999996</v>
      </c>
      <c r="AH69" s="1">
        <v>350</v>
      </c>
      <c r="AI69" s="1">
        <v>430.00000000000011</v>
      </c>
      <c r="AJ69" s="1">
        <v>373.30453748924458</v>
      </c>
      <c r="AK69" s="1">
        <v>453.72271622002813</v>
      </c>
      <c r="AL69" s="1">
        <v>265.99773252465019</v>
      </c>
      <c r="AM69" s="1">
        <v>491.80126781312549</v>
      </c>
      <c r="AN69" s="1">
        <v>542.85337035730538</v>
      </c>
      <c r="AO69" s="1">
        <v>261.99089251532723</v>
      </c>
      <c r="AP69" s="1">
        <v>261.92659605377838</v>
      </c>
      <c r="AQ69" s="1">
        <v>214.31222236443165</v>
      </c>
      <c r="AR69" s="1">
        <v>332</v>
      </c>
      <c r="AS69" s="1">
        <v>379</v>
      </c>
      <c r="AT69" s="1">
        <v>390</v>
      </c>
      <c r="AU69" s="1">
        <v>341.1</v>
      </c>
      <c r="AV69" s="1">
        <v>330</v>
      </c>
    </row>
    <row r="70" spans="1:48" x14ac:dyDescent="0.3">
      <c r="A70" s="4">
        <v>410080004</v>
      </c>
      <c r="B70" s="4" t="s">
        <v>144</v>
      </c>
      <c r="C70" s="4" t="str">
        <f>IFERROR(VLOOKUP(Tabela1[[#This Row],[Código]],Cadastro!$A:$J,2,0),"Sem Cadastro")</f>
        <v>ADOÇANTES</v>
      </c>
      <c r="D70" s="4" t="str">
        <f>IFERROR(VLOOKUP(Tabela1[[#This Row],[Código]],Cadastro!$A:$J,3,0),"Sem Cadastro")</f>
        <v>SUCRALOSE</v>
      </c>
      <c r="E70" s="4" t="str">
        <f>IFERROR(VLOOKUP(Tabela1[[#This Row],[Código]],Cadastro!$A:$J,4,0),"Sem Cadastro")</f>
        <v>SUCRALOSE CULINÁRIO</v>
      </c>
      <c r="F70" s="4" t="str">
        <f>IFERROR(VLOOKUP(Tabela1[[#This Row],[Código]],Cadastro!$A:$J,5,0),"Sem Cadastro")</f>
        <v>BB</v>
      </c>
      <c r="G70" s="5" t="s">
        <v>95</v>
      </c>
      <c r="H70" s="1">
        <v>549.44362144026047</v>
      </c>
      <c r="I70" s="1">
        <v>0</v>
      </c>
      <c r="J70" s="1">
        <v>0</v>
      </c>
      <c r="K70" s="1">
        <v>489</v>
      </c>
      <c r="L70" s="1">
        <v>1107.1848288459773</v>
      </c>
      <c r="M70" s="1">
        <v>900</v>
      </c>
      <c r="N70" s="1">
        <v>1115</v>
      </c>
      <c r="O70" s="1">
        <v>1050</v>
      </c>
      <c r="P70" s="1">
        <v>1000</v>
      </c>
      <c r="Q70" s="1">
        <v>918.88342932178477</v>
      </c>
      <c r="R70" s="1">
        <v>868.02691645939706</v>
      </c>
      <c r="S70" s="1">
        <v>531</v>
      </c>
      <c r="T70" s="1">
        <v>500.00000000000006</v>
      </c>
      <c r="U70" s="1">
        <v>600.00000000000011</v>
      </c>
      <c r="V70" s="1">
        <v>700</v>
      </c>
      <c r="W70" s="1">
        <v>700</v>
      </c>
      <c r="X70" s="1">
        <v>650</v>
      </c>
      <c r="Y70" s="1">
        <v>500</v>
      </c>
      <c r="Z70" s="1">
        <v>613</v>
      </c>
      <c r="AA70" s="1">
        <v>613</v>
      </c>
      <c r="AB70" s="1">
        <v>500</v>
      </c>
      <c r="AC70" s="1">
        <v>367</v>
      </c>
      <c r="AD70" s="1">
        <v>418</v>
      </c>
      <c r="AE70" s="1">
        <v>360</v>
      </c>
      <c r="AF70" s="1">
        <v>322</v>
      </c>
      <c r="AG70" s="1">
        <v>426.09521500000028</v>
      </c>
      <c r="AH70" s="1">
        <v>350</v>
      </c>
      <c r="AI70" s="1">
        <v>340.0000000000004</v>
      </c>
      <c r="AJ70" s="1">
        <v>320.37513161296863</v>
      </c>
      <c r="AK70" s="1">
        <v>351.47082867322371</v>
      </c>
      <c r="AL70" s="1">
        <v>558.58271749462187</v>
      </c>
      <c r="AM70" s="1">
        <v>578.35641932136798</v>
      </c>
      <c r="AN70" s="1">
        <v>592.47453015725171</v>
      </c>
      <c r="AO70" s="1">
        <v>349.87085921538886</v>
      </c>
      <c r="AP70" s="1">
        <v>535.85849173201302</v>
      </c>
      <c r="AQ70" s="1">
        <v>348.14780962268952</v>
      </c>
      <c r="AR70" s="1">
        <v>419</v>
      </c>
      <c r="AS70" s="1">
        <v>460</v>
      </c>
      <c r="AT70" s="1">
        <v>503</v>
      </c>
      <c r="AU70" s="1">
        <v>470</v>
      </c>
      <c r="AV70" s="1">
        <v>500</v>
      </c>
    </row>
    <row r="71" spans="1:48" x14ac:dyDescent="0.3">
      <c r="A71" s="4">
        <v>410313562</v>
      </c>
      <c r="B71" s="4" t="s">
        <v>145</v>
      </c>
      <c r="C71" s="4" t="str">
        <f>IFERROR(VLOOKUP(Tabela1[[#This Row],[Código]],Cadastro!$A:$J,2,0),"Sem Cadastro")</f>
        <v>ALIMENTOS</v>
      </c>
      <c r="D71" s="4" t="str">
        <f>IFERROR(VLOOKUP(Tabela1[[#This Row],[Código]],Cadastro!$A:$J,3,0),"Sem Cadastro")</f>
        <v>CHOCOLATES</v>
      </c>
      <c r="E71" s="4" t="str">
        <f>IFERROR(VLOOKUP(Tabela1[[#This Row],[Código]],Cadastro!$A:$J,4,0),"Sem Cadastro")</f>
        <v>FAMILIAR</v>
      </c>
      <c r="F71" s="4" t="str">
        <f>IFERROR(VLOOKUP(Tabela1[[#This Row],[Código]],Cadastro!$A:$J,5,0),"Sem Cadastro")</f>
        <v>BB</v>
      </c>
      <c r="G71" s="5" t="s">
        <v>100</v>
      </c>
      <c r="H71" s="1">
        <v>685.99999999999977</v>
      </c>
      <c r="I71" s="1">
        <v>572.99999999999977</v>
      </c>
      <c r="J71" s="1">
        <v>667</v>
      </c>
      <c r="K71" s="1">
        <v>667</v>
      </c>
      <c r="L71" s="1">
        <v>668.924167427778</v>
      </c>
      <c r="M71" s="1">
        <v>667</v>
      </c>
      <c r="N71" s="1">
        <v>400</v>
      </c>
      <c r="O71" s="1">
        <v>400</v>
      </c>
      <c r="P71" s="1">
        <v>400.00000000000006</v>
      </c>
      <c r="Q71" s="1">
        <v>367.5533717287139</v>
      </c>
      <c r="R71" s="1">
        <v>347.21076658375881</v>
      </c>
      <c r="S71" s="1">
        <v>315</v>
      </c>
      <c r="T71" s="1">
        <v>365</v>
      </c>
      <c r="U71" s="1">
        <v>390.00000000000006</v>
      </c>
      <c r="V71" s="1">
        <v>350</v>
      </c>
      <c r="W71" s="1">
        <v>400</v>
      </c>
      <c r="X71" s="1">
        <v>400</v>
      </c>
      <c r="Y71" s="1">
        <v>450</v>
      </c>
      <c r="Z71" s="1">
        <v>434</v>
      </c>
      <c r="AA71" s="1">
        <v>434</v>
      </c>
      <c r="AB71" s="1">
        <v>525</v>
      </c>
      <c r="AC71" s="1">
        <v>490</v>
      </c>
      <c r="AD71" s="1">
        <v>425</v>
      </c>
      <c r="AE71" s="1">
        <v>350</v>
      </c>
      <c r="AF71" s="1">
        <v>375</v>
      </c>
      <c r="AG71" s="1">
        <v>339.31426047803427</v>
      </c>
      <c r="AH71" s="1">
        <v>355.94870849999995</v>
      </c>
      <c r="AI71" s="1">
        <v>351.01364996383393</v>
      </c>
      <c r="AJ71" s="1">
        <v>388.82374063903683</v>
      </c>
      <c r="AK71" s="1">
        <v>320.02649978779885</v>
      </c>
      <c r="AL71" s="1">
        <v>297.50286016214591</v>
      </c>
      <c r="AM71" s="1">
        <v>303.72794718780449</v>
      </c>
      <c r="AN71" s="1">
        <v>336.07744249656088</v>
      </c>
      <c r="AO71" s="1">
        <v>339.62510153883551</v>
      </c>
      <c r="AP71" s="1">
        <v>445.89976108781576</v>
      </c>
      <c r="AQ71" s="1">
        <v>390.97347891522764</v>
      </c>
      <c r="AR71" s="1">
        <v>214</v>
      </c>
      <c r="AS71" s="1">
        <v>300</v>
      </c>
      <c r="AT71" s="1">
        <v>235</v>
      </c>
      <c r="AU71" s="1">
        <v>252</v>
      </c>
      <c r="AV71" s="1">
        <v>266</v>
      </c>
    </row>
    <row r="72" spans="1:48" x14ac:dyDescent="0.3">
      <c r="A72" s="4">
        <v>410426015</v>
      </c>
      <c r="B72" s="4" t="s">
        <v>146</v>
      </c>
      <c r="C72" s="4" t="str">
        <f>IFERROR(VLOOKUP(Tabela1[[#This Row],[Código]],Cadastro!$A:$J,2,0),"Sem Cadastro")</f>
        <v>ALIMENTOS</v>
      </c>
      <c r="D72" s="4" t="str">
        <f>IFERROR(VLOOKUP(Tabela1[[#This Row],[Código]],Cadastro!$A:$J,3,0),"Sem Cadastro")</f>
        <v>OUTROS</v>
      </c>
      <c r="E72" s="4" t="str">
        <f>IFERROR(VLOOKUP(Tabela1[[#This Row],[Código]],Cadastro!$A:$J,4,0),"Sem Cadastro")</f>
        <v>MOLHOS</v>
      </c>
      <c r="F72" s="4" t="str">
        <f>IFERROR(VLOOKUP(Tabela1[[#This Row],[Código]],Cadastro!$A:$J,5,0),"Sem Cadastro")</f>
        <v>BB</v>
      </c>
      <c r="G72" s="5" t="s">
        <v>133</v>
      </c>
      <c r="H72" s="1">
        <v>367.00000000000006</v>
      </c>
      <c r="I72" s="1">
        <v>310.66532670667124</v>
      </c>
      <c r="J72" s="1">
        <v>239.83310339799641</v>
      </c>
      <c r="K72" s="1">
        <v>238</v>
      </c>
      <c r="L72" s="1">
        <v>372.07026404153771</v>
      </c>
      <c r="M72" s="1">
        <v>450</v>
      </c>
      <c r="N72" s="1">
        <v>383.5</v>
      </c>
      <c r="O72" s="1">
        <v>403.71666666666653</v>
      </c>
      <c r="P72" s="1">
        <v>420.52999999999992</v>
      </c>
      <c r="Q72" s="1">
        <v>367.5533717287139</v>
      </c>
      <c r="R72" s="1">
        <v>347.21076658375881</v>
      </c>
      <c r="S72" s="1">
        <v>302</v>
      </c>
      <c r="T72" s="1">
        <v>300</v>
      </c>
      <c r="U72" s="1">
        <v>400</v>
      </c>
      <c r="V72" s="1">
        <v>470.11000000000007</v>
      </c>
      <c r="W72" s="1">
        <v>500</v>
      </c>
      <c r="X72" s="1">
        <v>500</v>
      </c>
      <c r="Y72" s="1">
        <v>375</v>
      </c>
      <c r="Z72" s="1">
        <v>438</v>
      </c>
      <c r="AA72" s="1">
        <v>438</v>
      </c>
      <c r="AB72" s="1">
        <v>450</v>
      </c>
      <c r="AC72" s="1">
        <v>344</v>
      </c>
      <c r="AD72" s="1">
        <v>348</v>
      </c>
      <c r="AE72" s="1">
        <v>300</v>
      </c>
      <c r="AF72" s="1">
        <v>322</v>
      </c>
      <c r="AG72" s="1">
        <v>320.41933749999976</v>
      </c>
      <c r="AH72" s="1">
        <v>330.62377500000002</v>
      </c>
      <c r="AI72" s="1">
        <v>360.00000000000028</v>
      </c>
      <c r="AJ72" s="1">
        <v>449.03537119267924</v>
      </c>
      <c r="AK72" s="1">
        <v>492.47849400449786</v>
      </c>
      <c r="AL72" s="1">
        <v>464.43238402588742</v>
      </c>
      <c r="AM72" s="1">
        <v>392.12364358088178</v>
      </c>
      <c r="AN72" s="1">
        <v>493.9729212969529</v>
      </c>
      <c r="AO72" s="1">
        <v>473.44078856793419</v>
      </c>
      <c r="AP72" s="1">
        <v>428.23080580985112</v>
      </c>
      <c r="AQ72" s="1">
        <v>284.26297206505666</v>
      </c>
      <c r="AR72" s="1">
        <v>329</v>
      </c>
      <c r="AS72" s="1">
        <v>368</v>
      </c>
      <c r="AT72" s="1">
        <v>398</v>
      </c>
      <c r="AU72" s="1">
        <v>0</v>
      </c>
      <c r="AV72" s="1">
        <v>0</v>
      </c>
    </row>
    <row r="73" spans="1:48" x14ac:dyDescent="0.3">
      <c r="A73" s="4">
        <v>410360287</v>
      </c>
      <c r="B73" s="4" t="s">
        <v>147</v>
      </c>
      <c r="C73" s="4" t="str">
        <f>IFERROR(VLOOKUP(Tabela1[[#This Row],[Código]],Cadastro!$A:$J,2,0),"Sem Cadastro")</f>
        <v>ALIMENTOS</v>
      </c>
      <c r="D73" s="4" t="str">
        <f>IFERROR(VLOOKUP(Tabela1[[#This Row],[Código]],Cadastro!$A:$J,3,0),"Sem Cadastro")</f>
        <v>SOBREMESAS EM PÓ</v>
      </c>
      <c r="E73" s="4" t="str">
        <f>IFERROR(VLOOKUP(Tabela1[[#This Row],[Código]],Cadastro!$A:$J,4,0),"Sem Cadastro")</f>
        <v>MISTURA PARA BOLO</v>
      </c>
      <c r="F73" s="4" t="str">
        <f>IFERROR(VLOOKUP(Tabela1[[#This Row],[Código]],Cadastro!$A:$J,5,0),"Sem Cadastro")</f>
        <v>CC</v>
      </c>
      <c r="G73" s="5" t="s">
        <v>148</v>
      </c>
      <c r="H73" s="1">
        <v>457.33416443468076</v>
      </c>
      <c r="I73" s="1">
        <v>441.19189268016555</v>
      </c>
      <c r="J73" s="1">
        <v>378.61813569342542</v>
      </c>
      <c r="K73" s="1">
        <v>417</v>
      </c>
      <c r="L73" s="1">
        <v>710.04244458600726</v>
      </c>
      <c r="M73" s="1">
        <v>450</v>
      </c>
      <c r="N73" s="1">
        <v>361.66666666666663</v>
      </c>
      <c r="O73" s="1">
        <v>500</v>
      </c>
      <c r="P73" s="1">
        <v>550</v>
      </c>
      <c r="Q73" s="1">
        <v>551.33005759307093</v>
      </c>
      <c r="R73" s="1">
        <v>520.81614987563819</v>
      </c>
      <c r="S73" s="1">
        <v>435</v>
      </c>
      <c r="T73" s="1">
        <v>450</v>
      </c>
      <c r="U73" s="1">
        <v>500</v>
      </c>
      <c r="V73" s="1">
        <v>590</v>
      </c>
      <c r="W73" s="1">
        <v>500</v>
      </c>
      <c r="X73" s="1">
        <v>400</v>
      </c>
      <c r="Y73" s="1">
        <v>400</v>
      </c>
      <c r="Z73" s="1">
        <v>444</v>
      </c>
      <c r="AA73" s="1">
        <v>444</v>
      </c>
      <c r="AB73" s="1">
        <v>375</v>
      </c>
      <c r="AC73" s="1">
        <v>328</v>
      </c>
      <c r="AD73" s="1">
        <v>313</v>
      </c>
      <c r="AE73" s="1">
        <v>225</v>
      </c>
      <c r="AF73" s="1">
        <v>268</v>
      </c>
      <c r="AG73" s="1">
        <v>302.82222250000024</v>
      </c>
      <c r="AH73" s="1">
        <v>320.32318500000002</v>
      </c>
      <c r="AI73" s="1">
        <v>290.00000000000034</v>
      </c>
      <c r="AJ73" s="1">
        <v>305.83337869238062</v>
      </c>
      <c r="AK73" s="1">
        <v>294.47590466163291</v>
      </c>
      <c r="AL73" s="1">
        <v>351.95702656482365</v>
      </c>
      <c r="AM73" s="1">
        <v>280.2250466040374</v>
      </c>
      <c r="AN73" s="1">
        <v>313.65243020189649</v>
      </c>
      <c r="AO73" s="1">
        <v>321.5188117280112</v>
      </c>
      <c r="AP73" s="1">
        <v>314.47815937722203</v>
      </c>
      <c r="AQ73" s="1">
        <v>248.78604338282466</v>
      </c>
      <c r="AR73" s="1">
        <v>302</v>
      </c>
      <c r="AS73" s="1">
        <v>320</v>
      </c>
      <c r="AT73" s="1">
        <v>340</v>
      </c>
      <c r="AU73" s="1">
        <v>335</v>
      </c>
      <c r="AV73" s="1">
        <v>342</v>
      </c>
    </row>
    <row r="74" spans="1:48" x14ac:dyDescent="0.3">
      <c r="A74" s="4">
        <v>410361087</v>
      </c>
      <c r="B74" s="4" t="s">
        <v>149</v>
      </c>
      <c r="C74" s="4" t="str">
        <f>IFERROR(VLOOKUP(Tabela1[[#This Row],[Código]],Cadastro!$A:$J,2,0),"Sem Cadastro")</f>
        <v>ALIMENTOS</v>
      </c>
      <c r="D74" s="4" t="str">
        <f>IFERROR(VLOOKUP(Tabela1[[#This Row],[Código]],Cadastro!$A:$J,3,0),"Sem Cadastro")</f>
        <v>SOBREMESAS EM PÓ</v>
      </c>
      <c r="E74" s="4" t="str">
        <f>IFERROR(VLOOKUP(Tabela1[[#This Row],[Código]],Cadastro!$A:$J,4,0),"Sem Cadastro")</f>
        <v>MISTURA PARA BOLO</v>
      </c>
      <c r="F74" s="4" t="str">
        <f>IFERROR(VLOOKUP(Tabela1[[#This Row],[Código]],Cadastro!$A:$J,5,0),"Sem Cadastro")</f>
        <v>CC</v>
      </c>
      <c r="G74" s="5" t="s">
        <v>148</v>
      </c>
      <c r="H74" s="1">
        <v>503.38889293747064</v>
      </c>
      <c r="I74" s="1">
        <v>575.53140704311477</v>
      </c>
      <c r="J74" s="1">
        <v>474.272867459841</v>
      </c>
      <c r="K74" s="1">
        <v>523</v>
      </c>
      <c r="L74" s="1">
        <v>784.25592043256722</v>
      </c>
      <c r="M74" s="1">
        <v>475</v>
      </c>
      <c r="N74" s="1">
        <v>412.83333333333331</v>
      </c>
      <c r="O74" s="1">
        <v>500</v>
      </c>
      <c r="P74" s="1">
        <v>550.00000000000011</v>
      </c>
      <c r="Q74" s="1">
        <v>597.27422905916012</v>
      </c>
      <c r="R74" s="1">
        <v>564.2174956986081</v>
      </c>
      <c r="S74" s="1">
        <v>478</v>
      </c>
      <c r="T74" s="1">
        <v>400</v>
      </c>
      <c r="U74" s="1">
        <v>525</v>
      </c>
      <c r="V74" s="1">
        <v>649.6</v>
      </c>
      <c r="W74" s="1">
        <v>600</v>
      </c>
      <c r="X74" s="1">
        <v>500</v>
      </c>
      <c r="Y74" s="1">
        <v>425</v>
      </c>
      <c r="Z74" s="1">
        <v>543</v>
      </c>
      <c r="AA74" s="1">
        <v>543</v>
      </c>
      <c r="AB74" s="1">
        <v>400</v>
      </c>
      <c r="AC74" s="1">
        <v>378</v>
      </c>
      <c r="AD74" s="1">
        <v>348</v>
      </c>
      <c r="AE74" s="1">
        <v>280</v>
      </c>
      <c r="AF74" s="1">
        <v>268</v>
      </c>
      <c r="AG74" s="1">
        <v>324.93084749999997</v>
      </c>
      <c r="AH74" s="1">
        <v>346.13743500000021</v>
      </c>
      <c r="AI74" s="1">
        <v>290.00000000000023</v>
      </c>
      <c r="AJ74" s="1">
        <v>312.00702092152102</v>
      </c>
      <c r="AK74" s="1">
        <v>312.43654466501567</v>
      </c>
      <c r="AL74" s="1">
        <v>362.1477129873299</v>
      </c>
      <c r="AM74" s="1">
        <v>296.81298175584772</v>
      </c>
      <c r="AN74" s="1">
        <v>331.26866411055511</v>
      </c>
      <c r="AO74" s="1">
        <v>280.51207337449461</v>
      </c>
      <c r="AP74" s="1">
        <v>264.9777212296479</v>
      </c>
      <c r="AQ74" s="1">
        <v>213.35795506831894</v>
      </c>
      <c r="AR74" s="1">
        <v>318</v>
      </c>
      <c r="AS74" s="1">
        <v>379</v>
      </c>
      <c r="AT74" s="1">
        <v>315</v>
      </c>
      <c r="AU74" s="1">
        <v>250</v>
      </c>
      <c r="AV74" s="1">
        <v>300</v>
      </c>
    </row>
    <row r="75" spans="1:48" x14ac:dyDescent="0.3">
      <c r="A75" s="4">
        <v>410015602</v>
      </c>
      <c r="B75" s="4" t="s">
        <v>150</v>
      </c>
      <c r="C75" s="4" t="str">
        <f>IFERROR(VLOOKUP(Tabela1[[#This Row],[Código]],Cadastro!$A:$J,2,0),"Sem Cadastro")</f>
        <v>ADOÇANTES</v>
      </c>
      <c r="D75" s="4" t="str">
        <f>IFERROR(VLOOKUP(Tabela1[[#This Row],[Código]],Cadastro!$A:$J,3,0),"Sem Cadastro")</f>
        <v>SUCRALOSE</v>
      </c>
      <c r="E75" s="4" t="str">
        <f>IFERROR(VLOOKUP(Tabela1[[#This Row],[Código]],Cadastro!$A:$J,4,0),"Sem Cadastro")</f>
        <v>SUCRALOSE LÍQUIDO</v>
      </c>
      <c r="F75" s="4" t="s">
        <v>151</v>
      </c>
      <c r="G75" s="5" t="s">
        <v>63</v>
      </c>
      <c r="H75" s="1">
        <v>183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</row>
    <row r="76" spans="1:48" x14ac:dyDescent="0.3">
      <c r="A76" s="4">
        <v>410316664</v>
      </c>
      <c r="B76" s="4" t="s">
        <v>152</v>
      </c>
      <c r="C76" s="4" t="str">
        <f>IFERROR(VLOOKUP(Tabela1[[#This Row],[Código]],Cadastro!$A:$J,2,0),"Sem Cadastro")</f>
        <v>ALIMENTOS</v>
      </c>
      <c r="D76" s="4" t="str">
        <f>IFERROR(VLOOKUP(Tabela1[[#This Row],[Código]],Cadastro!$A:$J,3,0),"Sem Cadastro")</f>
        <v>CHOCOLATES</v>
      </c>
      <c r="E76" s="4" t="str">
        <f>IFERROR(VLOOKUP(Tabela1[[#This Row],[Código]],Cadastro!$A:$J,4,0),"Sem Cadastro")</f>
        <v>IMPULSO</v>
      </c>
      <c r="F76" s="4" t="str">
        <f>IFERROR(VLOOKUP(Tabela1[[#This Row],[Código]],Cadastro!$A:$J,5,0),"Sem Cadastro")</f>
        <v>BB</v>
      </c>
      <c r="G76" s="5" t="s">
        <v>100</v>
      </c>
      <c r="H76" s="1">
        <v>367</v>
      </c>
      <c r="I76" s="1">
        <v>678.11460306492984</v>
      </c>
      <c r="J76" s="1">
        <v>471.4958565202059</v>
      </c>
      <c r="K76" s="1">
        <v>259</v>
      </c>
      <c r="L76" s="1">
        <v>51.147125245602219</v>
      </c>
      <c r="M76" s="1">
        <v>354</v>
      </c>
      <c r="N76" s="1">
        <v>450</v>
      </c>
      <c r="O76" s="1">
        <v>322.8</v>
      </c>
      <c r="P76" s="1">
        <v>350</v>
      </c>
      <c r="Q76" s="1">
        <v>321.60920026262465</v>
      </c>
      <c r="R76" s="1">
        <v>303.80942076078895</v>
      </c>
      <c r="S76" s="1">
        <v>282</v>
      </c>
      <c r="T76" s="1">
        <v>0</v>
      </c>
      <c r="U76" s="1">
        <v>350</v>
      </c>
      <c r="V76" s="1">
        <v>0</v>
      </c>
      <c r="W76" s="1">
        <v>400</v>
      </c>
      <c r="X76" s="1">
        <v>400</v>
      </c>
      <c r="Y76" s="1">
        <v>450</v>
      </c>
      <c r="Z76" s="1">
        <v>354</v>
      </c>
      <c r="AA76" s="1">
        <v>354</v>
      </c>
      <c r="AB76" s="1">
        <v>300</v>
      </c>
      <c r="AC76" s="1">
        <v>294</v>
      </c>
      <c r="AD76" s="1">
        <v>300</v>
      </c>
      <c r="AE76" s="1">
        <v>250</v>
      </c>
      <c r="AF76" s="1">
        <v>242</v>
      </c>
      <c r="AG76" s="1">
        <v>259.61330666244896</v>
      </c>
      <c r="AH76" s="1">
        <v>273</v>
      </c>
      <c r="AI76" s="1">
        <v>250.00000000000031</v>
      </c>
      <c r="AJ76" s="1">
        <v>210.24115174637654</v>
      </c>
      <c r="AK76" s="1">
        <v>261.64448070853632</v>
      </c>
      <c r="AL76" s="1">
        <v>238.34986020135</v>
      </c>
      <c r="AM76" s="1">
        <v>233.73571329006745</v>
      </c>
      <c r="AN76" s="1">
        <v>264.86191178619521</v>
      </c>
      <c r="AO76" s="1">
        <v>341.52284106706526</v>
      </c>
      <c r="AP76" s="1">
        <v>162.93470949943304</v>
      </c>
      <c r="AQ76" s="1">
        <v>175.52557399091279</v>
      </c>
      <c r="AR76" s="1">
        <v>165</v>
      </c>
      <c r="AS76" s="1">
        <v>350</v>
      </c>
      <c r="AT76" s="1">
        <v>300</v>
      </c>
      <c r="AU76" s="1">
        <v>234</v>
      </c>
      <c r="AV76" s="1">
        <v>300</v>
      </c>
    </row>
    <row r="77" spans="1:48" x14ac:dyDescent="0.3">
      <c r="A77" s="4">
        <v>410425815</v>
      </c>
      <c r="B77" s="4" t="s">
        <v>153</v>
      </c>
      <c r="C77" s="4" t="str">
        <f>IFERROR(VLOOKUP(Tabela1[[#This Row],[Código]],Cadastro!$A:$J,2,0),"Sem Cadastro")</f>
        <v>ALIMENTOS</v>
      </c>
      <c r="D77" s="4" t="str">
        <f>IFERROR(VLOOKUP(Tabela1[[#This Row],[Código]],Cadastro!$A:$J,3,0),"Sem Cadastro")</f>
        <v>OUTROS</v>
      </c>
      <c r="E77" s="4" t="str">
        <f>IFERROR(VLOOKUP(Tabela1[[#This Row],[Código]],Cadastro!$A:$J,4,0),"Sem Cadastro")</f>
        <v>MOLHOS</v>
      </c>
      <c r="F77" s="4" t="str">
        <f>IFERROR(VLOOKUP(Tabela1[[#This Row],[Código]],Cadastro!$A:$J,5,0),"Sem Cadastro")</f>
        <v>BB</v>
      </c>
      <c r="G77" s="5" t="s">
        <v>133</v>
      </c>
      <c r="H77" s="1">
        <v>297.99999999999994</v>
      </c>
      <c r="I77" s="1">
        <v>251.67398122463624</v>
      </c>
      <c r="J77" s="1">
        <v>284.44016663852159</v>
      </c>
      <c r="K77" s="1">
        <v>382</v>
      </c>
      <c r="L77" s="1">
        <v>345.99525901436795</v>
      </c>
      <c r="M77" s="1">
        <v>380</v>
      </c>
      <c r="N77" s="1">
        <v>369.83333333333337</v>
      </c>
      <c r="O77" s="1">
        <v>412.92666666666668</v>
      </c>
      <c r="P77" s="1">
        <v>450.00000000000006</v>
      </c>
      <c r="Q77" s="1">
        <v>413.49754319480314</v>
      </c>
      <c r="R77" s="1">
        <v>390.61211240672867</v>
      </c>
      <c r="S77" s="1">
        <v>330</v>
      </c>
      <c r="T77" s="1">
        <v>325</v>
      </c>
      <c r="U77" s="1">
        <v>350</v>
      </c>
      <c r="V77" s="1">
        <v>454.22</v>
      </c>
      <c r="W77" s="1">
        <v>450</v>
      </c>
      <c r="X77" s="1">
        <v>400</v>
      </c>
      <c r="Y77" s="1">
        <v>400</v>
      </c>
      <c r="Z77" s="1">
        <v>401</v>
      </c>
      <c r="AA77" s="1">
        <v>401</v>
      </c>
      <c r="AB77" s="1">
        <v>400</v>
      </c>
      <c r="AC77" s="1">
        <v>356</v>
      </c>
      <c r="AD77" s="1">
        <v>375</v>
      </c>
      <c r="AE77" s="1">
        <v>325</v>
      </c>
      <c r="AF77" s="1">
        <v>349</v>
      </c>
      <c r="AG77" s="1">
        <v>295.79663500000004</v>
      </c>
      <c r="AH77" s="1">
        <v>320</v>
      </c>
      <c r="AI77" s="1">
        <v>320.00000000000011</v>
      </c>
      <c r="AJ77" s="1">
        <v>358.68855272271776</v>
      </c>
      <c r="AK77" s="1">
        <v>374.13184802861531</v>
      </c>
      <c r="AL77" s="1">
        <v>346.88455502199417</v>
      </c>
      <c r="AM77" s="1">
        <v>313.0867929384454</v>
      </c>
      <c r="AN77" s="1">
        <v>354.7066657039619</v>
      </c>
      <c r="AO77" s="1">
        <v>376.46207331867453</v>
      </c>
      <c r="AP77" s="1">
        <v>349.06333658687828</v>
      </c>
      <c r="AQ77" s="1">
        <v>299.88889711130793</v>
      </c>
      <c r="AR77" s="1">
        <v>287</v>
      </c>
      <c r="AS77" s="1">
        <v>320</v>
      </c>
      <c r="AT77" s="1">
        <v>342</v>
      </c>
      <c r="AU77" s="1">
        <v>0</v>
      </c>
      <c r="AV77" s="1">
        <v>0</v>
      </c>
    </row>
    <row r="78" spans="1:48" x14ac:dyDescent="0.3">
      <c r="A78" s="4">
        <v>410250103</v>
      </c>
      <c r="B78" s="4" t="s">
        <v>154</v>
      </c>
      <c r="C78" s="4" t="str">
        <f>IFERROR(VLOOKUP(Tabela1[[#This Row],[Código]],Cadastro!$A:$J,2,0),"Sem Cadastro")</f>
        <v>ALIMENTOS</v>
      </c>
      <c r="D78" s="4" t="str">
        <f>IFERROR(VLOOKUP(Tabela1[[#This Row],[Código]],Cadastro!$A:$J,3,0),"Sem Cadastro")</f>
        <v>SOBREMESAS EM PÓ</v>
      </c>
      <c r="E78" s="4" t="str">
        <f>IFERROR(VLOOKUP(Tabela1[[#This Row],[Código]],Cadastro!$A:$J,4,0),"Sem Cadastro")</f>
        <v>GELATINA</v>
      </c>
      <c r="F78" s="4" t="str">
        <f>IFERROR(VLOOKUP(Tabela1[[#This Row],[Código]],Cadastro!$A:$J,5,0),"Sem Cadastro")</f>
        <v>CC</v>
      </c>
      <c r="G78" s="5" t="s">
        <v>70</v>
      </c>
      <c r="H78" s="1">
        <v>161</v>
      </c>
      <c r="I78" s="1">
        <v>181.33333333333334</v>
      </c>
      <c r="J78" s="1">
        <v>149.66678099067025</v>
      </c>
      <c r="K78" s="1">
        <v>158</v>
      </c>
      <c r="L78" s="1">
        <v>248.71543256685001</v>
      </c>
      <c r="M78" s="1">
        <v>225</v>
      </c>
      <c r="N78" s="1">
        <v>218.33333333333334</v>
      </c>
      <c r="O78" s="1">
        <v>218.33333333333334</v>
      </c>
      <c r="P78" s="1">
        <v>157</v>
      </c>
      <c r="Q78" s="1">
        <v>183.77668586435695</v>
      </c>
      <c r="R78" s="1">
        <v>173.60538329187941</v>
      </c>
      <c r="S78" s="1">
        <v>130</v>
      </c>
      <c r="T78" s="1">
        <v>150</v>
      </c>
      <c r="U78" s="1">
        <v>200</v>
      </c>
      <c r="V78" s="1">
        <v>223.51999999999998</v>
      </c>
      <c r="W78" s="1">
        <v>140</v>
      </c>
      <c r="X78" s="1">
        <v>250</v>
      </c>
      <c r="Y78" s="1">
        <v>200</v>
      </c>
      <c r="Z78" s="1">
        <v>197</v>
      </c>
      <c r="AA78" s="1">
        <v>197</v>
      </c>
      <c r="AB78" s="1">
        <v>150</v>
      </c>
      <c r="AC78" s="1">
        <v>147</v>
      </c>
      <c r="AD78" s="1">
        <v>200</v>
      </c>
      <c r="AE78" s="1">
        <v>200</v>
      </c>
      <c r="AF78" s="1">
        <v>215</v>
      </c>
      <c r="AG78" s="1">
        <v>138.9249825</v>
      </c>
      <c r="AH78" s="1">
        <v>200</v>
      </c>
      <c r="AI78" s="1">
        <v>141.5796</v>
      </c>
      <c r="AJ78" s="1">
        <v>179.77081974195738</v>
      </c>
      <c r="AK78" s="1">
        <v>226.18118225767316</v>
      </c>
      <c r="AL78" s="1">
        <v>121.09334118857363</v>
      </c>
      <c r="AM78" s="1">
        <v>123.41073973686639</v>
      </c>
      <c r="AN78" s="1">
        <v>234.60634295350576</v>
      </c>
      <c r="AO78" s="1">
        <v>171.12128614769682</v>
      </c>
      <c r="AP78" s="1">
        <v>235.8767219958203</v>
      </c>
      <c r="AQ78" s="1">
        <v>247.72084059473633</v>
      </c>
      <c r="AR78" s="1">
        <v>199</v>
      </c>
      <c r="AS78" s="1">
        <v>250</v>
      </c>
      <c r="AT78" s="1">
        <v>242</v>
      </c>
      <c r="AU78" s="1">
        <v>157.30000000000001</v>
      </c>
      <c r="AV78" s="1">
        <v>200</v>
      </c>
    </row>
    <row r="79" spans="1:48" x14ac:dyDescent="0.3">
      <c r="A79" s="4">
        <v>410014749</v>
      </c>
      <c r="B79" s="4" t="s">
        <v>155</v>
      </c>
      <c r="C79" s="4" t="str">
        <f>IFERROR(VLOOKUP(Tabela1[[#This Row],[Código]],Cadastro!$A:$J,2,0),"Sem Cadastro")</f>
        <v>ADOÇANTES</v>
      </c>
      <c r="D79" s="4" t="str">
        <f>IFERROR(VLOOKUP(Tabela1[[#This Row],[Código]],Cadastro!$A:$J,3,0),"Sem Cadastro")</f>
        <v>STEVIA</v>
      </c>
      <c r="E79" s="4" t="str">
        <f>IFERROR(VLOOKUP(Tabela1[[#This Row],[Código]],Cadastro!$A:$J,4,0),"Sem Cadastro")</f>
        <v>STEVIA LÍQUIDO</v>
      </c>
      <c r="F79" s="4" t="s">
        <v>151</v>
      </c>
      <c r="G79" s="5" t="s">
        <v>61</v>
      </c>
      <c r="H79" s="1">
        <v>183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</row>
    <row r="80" spans="1:48" x14ac:dyDescent="0.3">
      <c r="A80" s="4">
        <v>410040857</v>
      </c>
      <c r="B80" s="4" t="s">
        <v>156</v>
      </c>
      <c r="C80" s="4" t="str">
        <f>IFERROR(VLOOKUP(Tabela1[[#This Row],[Código]],Cadastro!$A:$J,2,0),"Sem Cadastro")</f>
        <v>ALIMENTOS</v>
      </c>
      <c r="D80" s="4" t="str">
        <f>IFERROR(VLOOKUP(Tabela1[[#This Row],[Código]],Cadastro!$A:$J,3,0),"Sem Cadastro")</f>
        <v>GELEIAS</v>
      </c>
      <c r="E80" s="4" t="str">
        <f>IFERROR(VLOOKUP(Tabela1[[#This Row],[Código]],Cadastro!$A:$J,4,0),"Sem Cadastro")</f>
        <v>GELEIA DE FRUTAS</v>
      </c>
      <c r="F80" s="4" t="str">
        <f>IFERROR(VLOOKUP(Tabela1[[#This Row],[Código]],Cadastro!$A:$J,5,0),"Sem Cadastro")</f>
        <v>CC</v>
      </c>
      <c r="G80" s="5" t="s">
        <v>66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1299.9999999999952</v>
      </c>
      <c r="AJ80" s="1">
        <v>1357.0919561395938</v>
      </c>
      <c r="AK80" s="1">
        <v>1480.5085881690397</v>
      </c>
      <c r="AL80" s="1">
        <v>1520.1001803183024</v>
      </c>
      <c r="AM80" s="1">
        <v>1349.2231282858475</v>
      </c>
      <c r="AN80" s="1">
        <v>612.04347722401076</v>
      </c>
      <c r="AO80" s="1">
        <v>727.06236248864275</v>
      </c>
      <c r="AP80" s="1">
        <v>292.62221384275028</v>
      </c>
      <c r="AQ80" s="1">
        <v>266.03256756970416</v>
      </c>
      <c r="AR80" s="1">
        <v>182</v>
      </c>
      <c r="AS80" s="1">
        <v>230</v>
      </c>
      <c r="AT80" s="1">
        <v>325</v>
      </c>
      <c r="AU80" s="1">
        <v>290</v>
      </c>
      <c r="AV80" s="1">
        <v>310</v>
      </c>
    </row>
    <row r="81" spans="1:48" x14ac:dyDescent="0.3">
      <c r="A81" s="4">
        <v>410312064</v>
      </c>
      <c r="B81" s="4" t="s">
        <v>157</v>
      </c>
      <c r="C81" s="4" t="str">
        <f>IFERROR(VLOOKUP(Tabela1[[#This Row],[Código]],Cadastro!$A:$J,2,0),"Sem Cadastro")</f>
        <v>ALIMENTOS</v>
      </c>
      <c r="D81" s="4" t="str">
        <f>IFERROR(VLOOKUP(Tabela1[[#This Row],[Código]],Cadastro!$A:$J,3,0),"Sem Cadastro")</f>
        <v>CHOCOLATES</v>
      </c>
      <c r="E81" s="4" t="str">
        <f>IFERROR(VLOOKUP(Tabela1[[#This Row],[Código]],Cadastro!$A:$J,4,0),"Sem Cadastro")</f>
        <v>VEGANO</v>
      </c>
      <c r="F81" s="4" t="str">
        <f>IFERROR(VLOOKUP(Tabela1[[#This Row],[Código]],Cadastro!$A:$J,5,0),"Sem Cadastro")</f>
        <v>BC</v>
      </c>
      <c r="G81" s="5" t="s">
        <v>100</v>
      </c>
      <c r="H81" s="1">
        <v>294.00000000000006</v>
      </c>
      <c r="I81" s="1">
        <v>119.00000000000001</v>
      </c>
      <c r="J81" s="1">
        <v>389</v>
      </c>
      <c r="K81" s="1">
        <v>389</v>
      </c>
      <c r="L81" s="1">
        <v>390.12219059880908</v>
      </c>
      <c r="M81" s="1">
        <v>499</v>
      </c>
      <c r="N81" s="1">
        <v>659.5</v>
      </c>
      <c r="O81" s="1">
        <v>650</v>
      </c>
      <c r="P81" s="1">
        <v>800</v>
      </c>
      <c r="Q81" s="1">
        <v>551.33005759307093</v>
      </c>
      <c r="R81" s="1">
        <v>520.81614987563819</v>
      </c>
      <c r="S81" s="1">
        <v>496</v>
      </c>
      <c r="T81" s="1">
        <v>500</v>
      </c>
      <c r="U81" s="1">
        <v>500</v>
      </c>
      <c r="V81" s="1">
        <v>500</v>
      </c>
      <c r="W81" s="1">
        <v>450</v>
      </c>
      <c r="X81" s="1">
        <v>400</v>
      </c>
      <c r="Y81" s="1">
        <v>350</v>
      </c>
      <c r="Z81" s="1">
        <v>365</v>
      </c>
      <c r="AA81" s="1">
        <v>365</v>
      </c>
      <c r="AB81" s="1">
        <v>375</v>
      </c>
      <c r="AC81" s="1">
        <v>422</v>
      </c>
      <c r="AD81" s="1">
        <v>370</v>
      </c>
      <c r="AE81" s="1">
        <v>350</v>
      </c>
      <c r="AF81" s="1">
        <v>375</v>
      </c>
      <c r="AG81" s="1">
        <v>225.62630473063979</v>
      </c>
      <c r="AH81" s="1">
        <v>367.5</v>
      </c>
      <c r="AI81" s="1">
        <v>350.00000000000023</v>
      </c>
      <c r="AJ81" s="1">
        <v>332.31024966581856</v>
      </c>
      <c r="AK81" s="1">
        <v>329.2550591273822</v>
      </c>
      <c r="AL81" s="1">
        <v>317.05939532965169</v>
      </c>
      <c r="AM81" s="1">
        <v>350.80964924325974</v>
      </c>
      <c r="AN81" s="1">
        <v>356.5757318416031</v>
      </c>
      <c r="AO81" s="1">
        <v>148.57204249296777</v>
      </c>
      <c r="AP81" s="1">
        <v>171.27451364612531</v>
      </c>
      <c r="AQ81" s="1">
        <v>109.92094261135585</v>
      </c>
      <c r="AR81" s="1">
        <v>101</v>
      </c>
      <c r="AS81" s="1">
        <v>300</v>
      </c>
      <c r="AT81" s="1">
        <v>150</v>
      </c>
      <c r="AU81" s="1">
        <v>180</v>
      </c>
      <c r="AV81" s="1">
        <v>205</v>
      </c>
    </row>
    <row r="82" spans="1:48" x14ac:dyDescent="0.3">
      <c r="A82" s="4">
        <v>410025606</v>
      </c>
      <c r="B82" s="4" t="s">
        <v>158</v>
      </c>
      <c r="C82" s="4" t="str">
        <f>IFERROR(VLOOKUP(Tabela1[[#This Row],[Código]],Cadastro!$A:$J,2,0),"Sem Cadastro")</f>
        <v>ADOÇANTES</v>
      </c>
      <c r="D82" s="4" t="str">
        <f>IFERROR(VLOOKUP(Tabela1[[#This Row],[Código]],Cadastro!$A:$J,3,0),"Sem Cadastro")</f>
        <v>SUCRALOSE</v>
      </c>
      <c r="E82" s="4" t="str">
        <f>IFERROR(VLOOKUP(Tabela1[[#This Row],[Código]],Cadastro!$A:$J,4,0),"Sem Cadastro")</f>
        <v>SUCRALOSE PÓ</v>
      </c>
      <c r="F82" s="4" t="str">
        <f>IFERROR(VLOOKUP(Tabela1[[#This Row],[Código]],Cadastro!$A:$J,5,0),"Sem Cadastro")</f>
        <v>BB</v>
      </c>
      <c r="G82" s="5" t="s">
        <v>59</v>
      </c>
      <c r="H82" s="1">
        <v>0</v>
      </c>
      <c r="I82" s="1">
        <v>0</v>
      </c>
      <c r="J82" s="1">
        <v>0</v>
      </c>
      <c r="K82" s="1">
        <v>165</v>
      </c>
      <c r="L82" s="1">
        <v>168.4846478678661</v>
      </c>
      <c r="M82" s="1">
        <v>224</v>
      </c>
      <c r="N82" s="1">
        <v>300</v>
      </c>
      <c r="O82" s="1">
        <v>200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200</v>
      </c>
      <c r="W82" s="1">
        <v>200</v>
      </c>
      <c r="X82" s="1">
        <v>200</v>
      </c>
      <c r="Y82" s="1">
        <v>190</v>
      </c>
      <c r="Z82" s="1">
        <v>228</v>
      </c>
      <c r="AA82" s="1">
        <v>228</v>
      </c>
      <c r="AB82" s="1">
        <v>275</v>
      </c>
      <c r="AC82" s="1">
        <v>273</v>
      </c>
      <c r="AD82" s="1">
        <v>200</v>
      </c>
      <c r="AE82" s="1">
        <v>180</v>
      </c>
      <c r="AF82" s="1">
        <v>118</v>
      </c>
      <c r="AG82" s="1">
        <v>142.39743000000001</v>
      </c>
      <c r="AH82" s="1">
        <v>100</v>
      </c>
      <c r="AI82" s="1">
        <v>100</v>
      </c>
      <c r="AJ82" s="1">
        <v>119.11570138590294</v>
      </c>
      <c r="AK82" s="1">
        <v>186.599111331004</v>
      </c>
      <c r="AL82" s="1">
        <v>214.9070897220677</v>
      </c>
      <c r="AM82" s="1">
        <v>253.55587577232157</v>
      </c>
      <c r="AN82" s="1">
        <v>274.04425695642766</v>
      </c>
      <c r="AO82" s="1">
        <v>224.36841442371713</v>
      </c>
      <c r="AP82" s="1">
        <v>217.32892175561969</v>
      </c>
      <c r="AQ82" s="1">
        <v>228.42884000200158</v>
      </c>
      <c r="AR82" s="1">
        <v>164</v>
      </c>
      <c r="AS82" s="1">
        <v>180</v>
      </c>
      <c r="AT82" s="1">
        <v>204</v>
      </c>
      <c r="AU82" s="1">
        <v>120</v>
      </c>
      <c r="AV82" s="1">
        <v>135</v>
      </c>
    </row>
    <row r="83" spans="1:48" x14ac:dyDescent="0.3">
      <c r="A83" s="4">
        <v>410026208</v>
      </c>
      <c r="B83" s="4" t="s">
        <v>159</v>
      </c>
      <c r="C83" s="4" t="str">
        <f>IFERROR(VLOOKUP(Tabela1[[#This Row],[Código]],Cadastro!$A:$J,2,0),"Sem Cadastro")</f>
        <v>ADOÇANTES</v>
      </c>
      <c r="D83" s="4" t="str">
        <f>IFERROR(VLOOKUP(Tabela1[[#This Row],[Código]],Cadastro!$A:$J,3,0),"Sem Cadastro")</f>
        <v>XILITOL</v>
      </c>
      <c r="E83" s="4" t="str">
        <f>IFERROR(VLOOKUP(Tabela1[[#This Row],[Código]],Cadastro!$A:$J,4,0),"Sem Cadastro")</f>
        <v>XILITOL PÓ</v>
      </c>
      <c r="F83" s="4" t="str">
        <f>IFERROR(VLOOKUP(Tabela1[[#This Row],[Código]],Cadastro!$A:$J,5,0),"Sem Cadastro")</f>
        <v>CC</v>
      </c>
      <c r="G83" s="5" t="s">
        <v>108</v>
      </c>
      <c r="H83" s="1">
        <v>458</v>
      </c>
      <c r="I83" s="1">
        <v>424.74991557637389</v>
      </c>
      <c r="J83" s="1">
        <v>395.09120826058813</v>
      </c>
      <c r="K83" s="1">
        <v>449</v>
      </c>
      <c r="L83" s="1">
        <v>622.79146622586222</v>
      </c>
      <c r="M83" s="1">
        <v>500</v>
      </c>
      <c r="N83" s="1">
        <v>450</v>
      </c>
      <c r="O83" s="1">
        <v>600</v>
      </c>
      <c r="P83" s="1">
        <v>480</v>
      </c>
      <c r="Q83" s="1">
        <v>0</v>
      </c>
      <c r="R83" s="1">
        <v>0</v>
      </c>
      <c r="S83" s="1">
        <v>0</v>
      </c>
      <c r="T83" s="1">
        <v>800</v>
      </c>
      <c r="U83" s="1">
        <v>500</v>
      </c>
      <c r="V83" s="1">
        <v>500</v>
      </c>
      <c r="W83" s="1">
        <v>600</v>
      </c>
      <c r="X83" s="1">
        <v>613.31981784855907</v>
      </c>
      <c r="Y83" s="1">
        <v>600</v>
      </c>
      <c r="Z83" s="1">
        <v>543</v>
      </c>
      <c r="AA83" s="1">
        <v>543</v>
      </c>
      <c r="AB83" s="1">
        <v>700</v>
      </c>
      <c r="AC83" s="1">
        <v>784</v>
      </c>
      <c r="AD83" s="1">
        <v>550</v>
      </c>
      <c r="AE83" s="1">
        <v>550</v>
      </c>
      <c r="AF83" s="1">
        <v>483</v>
      </c>
      <c r="AG83" s="1">
        <v>363.20005099999992</v>
      </c>
      <c r="AH83" s="1">
        <v>388.87476599999997</v>
      </c>
      <c r="AI83" s="1">
        <v>249.99999999999991</v>
      </c>
      <c r="AJ83" s="1">
        <v>330.98520944459671</v>
      </c>
      <c r="AK83" s="1">
        <v>260.88075984975785</v>
      </c>
      <c r="AL83" s="1">
        <v>285.64617428266149</v>
      </c>
      <c r="AM83" s="1">
        <v>245.32570729356178</v>
      </c>
      <c r="AN83" s="1">
        <v>242.48204761776245</v>
      </c>
      <c r="AO83" s="1">
        <v>159.23048269414946</v>
      </c>
      <c r="AP83" s="1">
        <v>176.11685390499045</v>
      </c>
      <c r="AQ83" s="1">
        <v>158.164686712215</v>
      </c>
      <c r="AR83" s="1">
        <v>129</v>
      </c>
      <c r="AS83" s="1">
        <v>144</v>
      </c>
      <c r="AT83" s="1">
        <v>170</v>
      </c>
      <c r="AU83" s="1">
        <v>170</v>
      </c>
      <c r="AV83" s="1">
        <v>170</v>
      </c>
    </row>
    <row r="84" spans="1:48" x14ac:dyDescent="0.3">
      <c r="A84" s="4">
        <v>410040557</v>
      </c>
      <c r="B84" s="4" t="s">
        <v>160</v>
      </c>
      <c r="C84" s="4" t="str">
        <f>IFERROR(VLOOKUP(Tabela1[[#This Row],[Código]],Cadastro!$A:$J,2,0),"Sem Cadastro")</f>
        <v>ALIMENTOS</v>
      </c>
      <c r="D84" s="4" t="str">
        <f>IFERROR(VLOOKUP(Tabela1[[#This Row],[Código]],Cadastro!$A:$J,3,0),"Sem Cadastro")</f>
        <v>GELEIAS</v>
      </c>
      <c r="E84" s="4" t="str">
        <f>IFERROR(VLOOKUP(Tabela1[[#This Row],[Código]],Cadastro!$A:$J,4,0),"Sem Cadastro")</f>
        <v>GELEIAS ESPECIAIS</v>
      </c>
      <c r="F84" s="4" t="str">
        <f>IFERROR(VLOOKUP(Tabela1[[#This Row],[Código]],Cadastro!$A:$J,5,0),"Sem Cadastro")</f>
        <v>CC</v>
      </c>
      <c r="G84" s="5" t="s">
        <v>66</v>
      </c>
      <c r="H84" s="1">
        <v>318.76737071407638</v>
      </c>
      <c r="I84" s="1">
        <v>423.1671771271798</v>
      </c>
      <c r="J84" s="1">
        <v>290.66828656323963</v>
      </c>
      <c r="K84" s="1">
        <v>383</v>
      </c>
      <c r="L84" s="1">
        <v>449.29239431430966</v>
      </c>
      <c r="M84" s="1">
        <v>500</v>
      </c>
      <c r="N84" s="1">
        <v>280</v>
      </c>
      <c r="O84" s="1">
        <v>400</v>
      </c>
      <c r="P84" s="1">
        <v>377.80888888888876</v>
      </c>
      <c r="Q84" s="1">
        <v>215</v>
      </c>
      <c r="R84" s="1">
        <v>450</v>
      </c>
      <c r="S84" s="1">
        <v>437</v>
      </c>
      <c r="T84" s="1">
        <v>400</v>
      </c>
      <c r="U84" s="1">
        <v>400</v>
      </c>
      <c r="V84" s="1">
        <v>400</v>
      </c>
      <c r="W84" s="1">
        <v>400</v>
      </c>
      <c r="X84" s="1">
        <v>400</v>
      </c>
      <c r="Y84" s="1">
        <v>400</v>
      </c>
      <c r="Z84" s="1">
        <v>353</v>
      </c>
      <c r="AA84" s="1">
        <v>353</v>
      </c>
      <c r="AB84" s="1">
        <v>300</v>
      </c>
      <c r="AC84" s="1">
        <v>343</v>
      </c>
      <c r="AD84" s="1">
        <v>300</v>
      </c>
      <c r="AE84" s="1">
        <v>300</v>
      </c>
      <c r="AF84" s="1">
        <v>322</v>
      </c>
      <c r="AG84" s="1">
        <v>269.88106000000033</v>
      </c>
      <c r="AH84" s="1">
        <v>262.53396000000021</v>
      </c>
      <c r="AI84" s="1">
        <v>259.2928000000004</v>
      </c>
      <c r="AJ84" s="1">
        <v>251.69256742230007</v>
      </c>
      <c r="AK84" s="1">
        <v>337.346380462311</v>
      </c>
      <c r="AL84" s="1">
        <v>339.33600292585476</v>
      </c>
      <c r="AM84" s="1">
        <v>342.84287700458833</v>
      </c>
      <c r="AN84" s="1">
        <v>330.48119207562729</v>
      </c>
      <c r="AO84" s="1">
        <v>234.8585972813087</v>
      </c>
      <c r="AP84" s="1">
        <v>177.52980091154214</v>
      </c>
      <c r="AQ84" s="1">
        <v>175.12120508049904</v>
      </c>
      <c r="AR84" s="1">
        <v>139</v>
      </c>
      <c r="AS84" s="1">
        <v>154</v>
      </c>
      <c r="AT84" s="1">
        <v>180</v>
      </c>
      <c r="AU84" s="1">
        <v>170</v>
      </c>
      <c r="AV84" s="1">
        <v>175</v>
      </c>
    </row>
    <row r="85" spans="1:48" x14ac:dyDescent="0.3">
      <c r="A85" s="4">
        <v>410060299</v>
      </c>
      <c r="B85" s="4" t="s">
        <v>161</v>
      </c>
      <c r="C85" s="4" t="str">
        <f>IFERROR(VLOOKUP(Tabela1[[#This Row],[Código]],Cadastro!$A:$J,2,0),"Sem Cadastro")</f>
        <v>ALIMENTOS</v>
      </c>
      <c r="D85" s="4" t="str">
        <f>IFERROR(VLOOKUP(Tabela1[[#This Row],[Código]],Cadastro!$A:$J,3,0),"Sem Cadastro")</f>
        <v>SHAKE</v>
      </c>
      <c r="E85" s="4" t="str">
        <f>IFERROR(VLOOKUP(Tabela1[[#This Row],[Código]],Cadastro!$A:$J,4,0),"Sem Cadastro")</f>
        <v>SHAKE</v>
      </c>
      <c r="F85" s="4" t="str">
        <f>IFERROR(VLOOKUP(Tabela1[[#This Row],[Código]],Cadastro!$A:$J,5,0),"Sem Cadastro")</f>
        <v>LANÇAMENTO</v>
      </c>
      <c r="G85" s="5" t="s">
        <v>162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239</v>
      </c>
      <c r="AQ85" s="1">
        <v>239.06361000132929</v>
      </c>
      <c r="AR85" s="1">
        <v>325</v>
      </c>
      <c r="AS85" s="1">
        <v>479</v>
      </c>
      <c r="AT85" s="1">
        <v>292</v>
      </c>
      <c r="AU85" s="1">
        <v>391</v>
      </c>
      <c r="AV85" s="1">
        <v>397</v>
      </c>
    </row>
    <row r="86" spans="1:48" x14ac:dyDescent="0.3">
      <c r="A86" s="4">
        <v>410060399</v>
      </c>
      <c r="B86" s="4" t="s">
        <v>163</v>
      </c>
      <c r="C86" s="4" t="str">
        <f>IFERROR(VLOOKUP(Tabela1[[#This Row],[Código]],Cadastro!$A:$J,2,0),"Sem Cadastro")</f>
        <v>ALIMENTOS</v>
      </c>
      <c r="D86" s="4" t="str">
        <f>IFERROR(VLOOKUP(Tabela1[[#This Row],[Código]],Cadastro!$A:$J,3,0),"Sem Cadastro")</f>
        <v>SHAKE</v>
      </c>
      <c r="E86" s="4" t="str">
        <f>IFERROR(VLOOKUP(Tabela1[[#This Row],[Código]],Cadastro!$A:$J,4,0),"Sem Cadastro")</f>
        <v>SHAKE</v>
      </c>
      <c r="F86" s="4" t="str">
        <f>IFERROR(VLOOKUP(Tabela1[[#This Row],[Código]],Cadastro!$A:$J,5,0),"Sem Cadastro")</f>
        <v>LANÇAMENTO</v>
      </c>
      <c r="G86" s="5" t="s">
        <v>162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429</v>
      </c>
      <c r="AQ86" s="1">
        <v>156.9961089023721</v>
      </c>
      <c r="AR86" s="1">
        <v>316</v>
      </c>
      <c r="AS86" s="1">
        <v>472</v>
      </c>
      <c r="AT86" s="1">
        <v>281</v>
      </c>
      <c r="AU86" s="1">
        <v>382</v>
      </c>
      <c r="AV86" s="1">
        <v>387</v>
      </c>
    </row>
    <row r="87" spans="1:48" x14ac:dyDescent="0.3">
      <c r="A87" s="4">
        <v>410030604</v>
      </c>
      <c r="B87" s="4" t="s">
        <v>164</v>
      </c>
      <c r="C87" s="4" t="str">
        <f>IFERROR(VLOOKUP(Tabela1[[#This Row],[Código]],Cadastro!$A:$J,2,0),"Sem Cadastro")</f>
        <v>ALIMENTOS</v>
      </c>
      <c r="D87" s="4" t="str">
        <f>IFERROR(VLOOKUP(Tabela1[[#This Row],[Código]],Cadastro!$A:$J,3,0),"Sem Cadastro")</f>
        <v>BARRAS</v>
      </c>
      <c r="E87" s="4" t="str">
        <f>IFERROR(VLOOKUP(Tabela1[[#This Row],[Código]],Cadastro!$A:$J,4,0),"Sem Cadastro")</f>
        <v>BARRA CEREAIS</v>
      </c>
      <c r="F87" s="4" t="str">
        <f>IFERROR(VLOOKUP(Tabela1[[#This Row],[Código]],Cadastro!$A:$J,5,0),"Sem Cadastro")</f>
        <v>CC</v>
      </c>
      <c r="G87" s="5" t="s">
        <v>165</v>
      </c>
      <c r="H87" s="1">
        <v>504.00000000000011</v>
      </c>
      <c r="I87" s="1">
        <v>352.96871635541891</v>
      </c>
      <c r="J87" s="1">
        <v>390.3747483100272</v>
      </c>
      <c r="K87" s="1">
        <v>397</v>
      </c>
      <c r="L87" s="1">
        <v>151.35537533463304</v>
      </c>
      <c r="M87" s="1">
        <v>215</v>
      </c>
      <c r="N87" s="1">
        <v>0</v>
      </c>
      <c r="O87" s="1">
        <v>0</v>
      </c>
      <c r="P87" s="1">
        <v>800.00000000000011</v>
      </c>
      <c r="Q87" s="1">
        <v>459.44171466089239</v>
      </c>
      <c r="R87" s="1">
        <v>434.01345822969853</v>
      </c>
      <c r="S87" s="1">
        <v>357</v>
      </c>
      <c r="T87" s="1">
        <v>325</v>
      </c>
      <c r="U87" s="1">
        <v>400</v>
      </c>
      <c r="V87" s="1">
        <v>500</v>
      </c>
      <c r="W87" s="1">
        <v>450</v>
      </c>
      <c r="X87" s="1">
        <v>375</v>
      </c>
      <c r="Y87" s="1">
        <v>350</v>
      </c>
      <c r="Z87" s="1">
        <v>329</v>
      </c>
      <c r="AA87" s="1">
        <v>329</v>
      </c>
      <c r="AB87" s="1">
        <v>280</v>
      </c>
      <c r="AC87" s="1">
        <v>245</v>
      </c>
      <c r="AD87" s="1">
        <v>225</v>
      </c>
      <c r="AE87" s="1">
        <v>225</v>
      </c>
      <c r="AF87" s="1">
        <v>242</v>
      </c>
      <c r="AG87" s="1">
        <v>208.64422000000005</v>
      </c>
      <c r="AH87" s="1">
        <v>223.06652</v>
      </c>
      <c r="AI87" s="1">
        <v>211</v>
      </c>
      <c r="AJ87" s="1">
        <v>242.82431672819536</v>
      </c>
      <c r="AK87" s="1">
        <v>223.24697353241726</v>
      </c>
      <c r="AL87" s="1">
        <v>288.43274814358159</v>
      </c>
      <c r="AM87" s="1">
        <v>239.22761162274944</v>
      </c>
      <c r="AN87" s="1">
        <v>265.96133442851971</v>
      </c>
      <c r="AO87" s="1">
        <v>213.7223756191764</v>
      </c>
      <c r="AP87" s="1">
        <v>199.91123497816528</v>
      </c>
      <c r="AQ87" s="1">
        <v>152.1068054899574</v>
      </c>
      <c r="AR87" s="1">
        <v>157</v>
      </c>
      <c r="AS87" s="1">
        <v>140</v>
      </c>
      <c r="AT87" s="1">
        <v>160</v>
      </c>
      <c r="AU87" s="1">
        <v>0</v>
      </c>
      <c r="AV87" s="1">
        <v>0</v>
      </c>
    </row>
    <row r="88" spans="1:48" x14ac:dyDescent="0.3">
      <c r="A88" s="4">
        <v>410342157</v>
      </c>
      <c r="B88" s="4" t="s">
        <v>166</v>
      </c>
      <c r="C88" s="4" t="str">
        <f>IFERROR(VLOOKUP(Tabela1[[#This Row],[Código]],Cadastro!$A:$J,2,0),"Sem Cadastro")</f>
        <v>ALIMENTOS</v>
      </c>
      <c r="D88" s="4" t="str">
        <f>IFERROR(VLOOKUP(Tabela1[[#This Row],[Código]],Cadastro!$A:$J,3,0),"Sem Cadastro")</f>
        <v>OUTROS</v>
      </c>
      <c r="E88" s="4" t="str">
        <f>IFERROR(VLOOKUP(Tabela1[[#This Row],[Código]],Cadastro!$A:$J,4,0),"Sem Cadastro")</f>
        <v>DOCE DE LEITE</v>
      </c>
      <c r="F88" s="4" t="str">
        <f>IFERROR(VLOOKUP(Tabela1[[#This Row],[Código]],Cadastro!$A:$J,5,0),"Sem Cadastro")</f>
        <v>BC</v>
      </c>
      <c r="G88" s="5" t="s">
        <v>118</v>
      </c>
      <c r="H88" s="1">
        <v>320.00000000000006</v>
      </c>
      <c r="I88" s="1">
        <v>209.92751587678725</v>
      </c>
      <c r="J88" s="1">
        <v>226.47214366039069</v>
      </c>
      <c r="K88" s="1">
        <v>211</v>
      </c>
      <c r="L88" s="1">
        <v>507.45971322107295</v>
      </c>
      <c r="M88" s="1">
        <v>209</v>
      </c>
      <c r="N88" s="1">
        <v>168.58333333333334</v>
      </c>
      <c r="O88" s="1">
        <v>234.9166666666666</v>
      </c>
      <c r="P88" s="1">
        <v>244.8833333333333</v>
      </c>
      <c r="Q88" s="1">
        <v>211.34318874401049</v>
      </c>
      <c r="R88" s="1">
        <v>199.6461907856613</v>
      </c>
      <c r="S88" s="1">
        <v>176</v>
      </c>
      <c r="T88" s="1">
        <v>200</v>
      </c>
      <c r="U88" s="1">
        <v>250</v>
      </c>
      <c r="V88" s="1">
        <v>306.57000000000011</v>
      </c>
      <c r="W88" s="1">
        <v>275</v>
      </c>
      <c r="X88" s="1">
        <v>275</v>
      </c>
      <c r="Y88" s="1">
        <v>225</v>
      </c>
      <c r="Z88" s="1">
        <v>200</v>
      </c>
      <c r="AA88" s="1">
        <v>200</v>
      </c>
      <c r="AB88" s="1">
        <v>200</v>
      </c>
      <c r="AC88" s="1">
        <v>150</v>
      </c>
      <c r="AD88" s="1">
        <v>150</v>
      </c>
      <c r="AE88" s="1">
        <v>150</v>
      </c>
      <c r="AF88" s="1">
        <v>193</v>
      </c>
      <c r="AG88" s="1">
        <v>122.62680000000005</v>
      </c>
      <c r="AH88" s="1">
        <v>200</v>
      </c>
      <c r="AI88" s="1">
        <v>280.00000000000011</v>
      </c>
      <c r="AJ88" s="1">
        <v>268.8560287081342</v>
      </c>
      <c r="AK88" s="1">
        <v>271.31619814303315</v>
      </c>
      <c r="AL88" s="1">
        <v>324.57130903047653</v>
      </c>
      <c r="AM88" s="1">
        <v>267.53222386757744</v>
      </c>
      <c r="AN88" s="1">
        <v>292.14763320891922</v>
      </c>
      <c r="AO88" s="1">
        <v>254.79204117028954</v>
      </c>
      <c r="AP88" s="1">
        <v>232.34876369185974</v>
      </c>
      <c r="AQ88" s="1">
        <v>200.75094192550509</v>
      </c>
      <c r="AR88" s="1">
        <v>229</v>
      </c>
      <c r="AS88" s="1">
        <v>257</v>
      </c>
      <c r="AT88" s="1">
        <v>277</v>
      </c>
      <c r="AU88" s="1">
        <v>389</v>
      </c>
      <c r="AV88" s="1">
        <v>0</v>
      </c>
    </row>
    <row r="89" spans="1:48" x14ac:dyDescent="0.3">
      <c r="A89" s="4">
        <v>410251203</v>
      </c>
      <c r="B89" s="4" t="s">
        <v>167</v>
      </c>
      <c r="C89" s="4" t="str">
        <f>IFERROR(VLOOKUP(Tabela1[[#This Row],[Código]],Cadastro!$A:$J,2,0),"Sem Cadastro")</f>
        <v>ALIMENTOS</v>
      </c>
      <c r="D89" s="4" t="str">
        <f>IFERROR(VLOOKUP(Tabela1[[#This Row],[Código]],Cadastro!$A:$J,3,0),"Sem Cadastro")</f>
        <v>SOBREMESAS EM PÓ</v>
      </c>
      <c r="E89" s="4" t="str">
        <f>IFERROR(VLOOKUP(Tabela1[[#This Row],[Código]],Cadastro!$A:$J,4,0),"Sem Cadastro")</f>
        <v>GELATINA</v>
      </c>
      <c r="F89" s="4" t="str">
        <f>IFERROR(VLOOKUP(Tabela1[[#This Row],[Código]],Cadastro!$A:$J,5,0),"Sem Cadastro")</f>
        <v>CC</v>
      </c>
      <c r="G89" s="5" t="s">
        <v>70</v>
      </c>
      <c r="H89" s="1">
        <v>120</v>
      </c>
      <c r="I89" s="1">
        <v>128</v>
      </c>
      <c r="J89" s="1">
        <v>138.83439689799724</v>
      </c>
      <c r="K89" s="1">
        <v>139</v>
      </c>
      <c r="L89" s="1">
        <v>88.253863168882262</v>
      </c>
      <c r="M89" s="1">
        <v>176</v>
      </c>
      <c r="N89" s="1">
        <v>120.5</v>
      </c>
      <c r="O89" s="1">
        <v>126.66666666666667</v>
      </c>
      <c r="P89" s="1">
        <v>125</v>
      </c>
      <c r="Q89" s="1">
        <v>114.8604286652231</v>
      </c>
      <c r="R89" s="1">
        <v>108.50336455742463</v>
      </c>
      <c r="S89" s="1">
        <v>91</v>
      </c>
      <c r="T89" s="1">
        <v>100</v>
      </c>
      <c r="U89" s="1">
        <v>100</v>
      </c>
      <c r="V89" s="1">
        <v>148.91</v>
      </c>
      <c r="W89" s="1">
        <v>100</v>
      </c>
      <c r="X89" s="1">
        <v>165</v>
      </c>
      <c r="Y89" s="1">
        <v>120</v>
      </c>
      <c r="Z89" s="1">
        <v>143</v>
      </c>
      <c r="AA89" s="1">
        <v>143</v>
      </c>
      <c r="AB89" s="1">
        <v>100</v>
      </c>
      <c r="AC89" s="1">
        <v>98</v>
      </c>
      <c r="AD89" s="1">
        <v>90</v>
      </c>
      <c r="AE89" s="1">
        <v>90</v>
      </c>
      <c r="AF89" s="1">
        <v>108</v>
      </c>
      <c r="AG89" s="1">
        <v>95.116487500000005</v>
      </c>
      <c r="AH89" s="1">
        <v>200</v>
      </c>
      <c r="AI89" s="1">
        <v>189.99999999999997</v>
      </c>
      <c r="AJ89" s="1">
        <v>226.6698356176239</v>
      </c>
      <c r="AK89" s="1">
        <v>185.82183858646397</v>
      </c>
      <c r="AL89" s="1">
        <v>109.62827813833285</v>
      </c>
      <c r="AM89" s="1">
        <v>109.28079138486801</v>
      </c>
      <c r="AN89" s="1">
        <v>193.68510745773258</v>
      </c>
      <c r="AO89" s="1">
        <v>157.49019419136988</v>
      </c>
      <c r="AP89" s="1">
        <v>77.285089163029184</v>
      </c>
      <c r="AQ89" s="1">
        <v>80.309044628921967</v>
      </c>
      <c r="AR89" s="1">
        <v>207</v>
      </c>
      <c r="AS89" s="1">
        <v>250</v>
      </c>
      <c r="AT89" s="1">
        <v>251</v>
      </c>
      <c r="AU89" s="1">
        <v>164.45000000000002</v>
      </c>
      <c r="AV89" s="1">
        <v>200</v>
      </c>
    </row>
    <row r="90" spans="1:48" x14ac:dyDescent="0.3">
      <c r="A90" s="4">
        <v>410030004</v>
      </c>
      <c r="B90" s="4" t="s">
        <v>168</v>
      </c>
      <c r="C90" s="4" t="str">
        <f>IFERROR(VLOOKUP(Tabela1[[#This Row],[Código]],Cadastro!$A:$J,2,0),"Sem Cadastro")</f>
        <v>ALIMENTOS</v>
      </c>
      <c r="D90" s="4" t="str">
        <f>IFERROR(VLOOKUP(Tabela1[[#This Row],[Código]],Cadastro!$A:$J,3,0),"Sem Cadastro")</f>
        <v>BARRAS</v>
      </c>
      <c r="E90" s="4" t="str">
        <f>IFERROR(VLOOKUP(Tabela1[[#This Row],[Código]],Cadastro!$A:$J,4,0),"Sem Cadastro")</f>
        <v>BARRA CEREAIS</v>
      </c>
      <c r="F90" s="4" t="str">
        <f>IFERROR(VLOOKUP(Tabela1[[#This Row],[Código]],Cadastro!$A:$J,5,0),"Sem Cadastro")</f>
        <v>CC</v>
      </c>
      <c r="G90" s="5" t="s">
        <v>165</v>
      </c>
      <c r="H90" s="1">
        <v>457.99999999999994</v>
      </c>
      <c r="I90" s="1">
        <v>447.02858843428641</v>
      </c>
      <c r="J90" s="1">
        <v>481.144569752319</v>
      </c>
      <c r="K90" s="1">
        <v>444</v>
      </c>
      <c r="L90" s="1">
        <v>100.28848087372985</v>
      </c>
      <c r="M90" s="1">
        <v>0</v>
      </c>
      <c r="N90" s="1">
        <v>0</v>
      </c>
      <c r="O90" s="1">
        <v>0</v>
      </c>
      <c r="P90" s="1">
        <v>1000</v>
      </c>
      <c r="Q90" s="1">
        <v>643.21840052524931</v>
      </c>
      <c r="R90" s="1">
        <v>607.61884152157791</v>
      </c>
      <c r="S90" s="1">
        <v>399</v>
      </c>
      <c r="T90" s="1">
        <v>350</v>
      </c>
      <c r="U90" s="1">
        <v>399.99999999999994</v>
      </c>
      <c r="V90" s="1">
        <v>500</v>
      </c>
      <c r="W90" s="1">
        <v>500</v>
      </c>
      <c r="X90" s="1">
        <v>400</v>
      </c>
      <c r="Y90" s="1">
        <v>300</v>
      </c>
      <c r="Z90" s="1">
        <v>273</v>
      </c>
      <c r="AA90" s="1">
        <v>273</v>
      </c>
      <c r="AB90" s="1">
        <v>240</v>
      </c>
      <c r="AC90" s="1">
        <v>237</v>
      </c>
      <c r="AD90" s="1">
        <v>218</v>
      </c>
      <c r="AE90" s="1">
        <v>200</v>
      </c>
      <c r="AF90" s="1">
        <v>268</v>
      </c>
      <c r="AG90" s="1">
        <v>188.68260000000001</v>
      </c>
      <c r="AH90" s="1">
        <v>194.69159999999999</v>
      </c>
      <c r="AI90" s="1">
        <v>191.99999999999997</v>
      </c>
      <c r="AJ90" s="1">
        <v>227.5576219004825</v>
      </c>
      <c r="AK90" s="1">
        <v>136.91140799132916</v>
      </c>
      <c r="AL90" s="1">
        <v>263.36416027503509</v>
      </c>
      <c r="AM90" s="1">
        <v>225.29806380716286</v>
      </c>
      <c r="AN90" s="1">
        <v>258.34807241701884</v>
      </c>
      <c r="AO90" s="1">
        <v>206.51073362586052</v>
      </c>
      <c r="AP90" s="1">
        <v>185.7509167158797</v>
      </c>
      <c r="AQ90" s="1">
        <v>132.57198070499339</v>
      </c>
      <c r="AR90" s="1">
        <v>139</v>
      </c>
      <c r="AS90" s="1">
        <v>156</v>
      </c>
      <c r="AT90" s="1">
        <v>164</v>
      </c>
      <c r="AU90" s="1">
        <v>0</v>
      </c>
      <c r="AV90" s="1">
        <v>0</v>
      </c>
    </row>
    <row r="91" spans="1:48" x14ac:dyDescent="0.3">
      <c r="A91" s="4">
        <v>410313499</v>
      </c>
      <c r="B91" s="4" t="s">
        <v>169</v>
      </c>
      <c r="C91" s="4" t="str">
        <f>IFERROR(VLOOKUP(Tabela1[[#This Row],[Código]],Cadastro!$A:$J,2,0),"Sem Cadastro")</f>
        <v>ALIMENTOS</v>
      </c>
      <c r="D91" s="4" t="str">
        <f>IFERROR(VLOOKUP(Tabela1[[#This Row],[Código]],Cadastro!$A:$J,3,0),"Sem Cadastro")</f>
        <v>CHOCOLATES</v>
      </c>
      <c r="E91" s="4" t="str">
        <f>IFERROR(VLOOKUP(Tabela1[[#This Row],[Código]],Cadastro!$A:$J,4,0),"Sem Cadastro")</f>
        <v>IMPULSO</v>
      </c>
      <c r="F91" s="4" t="str">
        <f>IFERROR(VLOOKUP(Tabela1[[#This Row],[Código]],Cadastro!$A:$J,5,0),"Sem Cadastro")</f>
        <v>BC</v>
      </c>
      <c r="G91" s="5" t="s">
        <v>100</v>
      </c>
      <c r="H91" s="1">
        <v>413</v>
      </c>
      <c r="I91" s="1">
        <v>488.88668308631179</v>
      </c>
      <c r="J91" s="1">
        <v>373.91623821755547</v>
      </c>
      <c r="K91" s="1">
        <v>447</v>
      </c>
      <c r="L91" s="1">
        <v>349.00391344057977</v>
      </c>
      <c r="M91" s="1">
        <v>381</v>
      </c>
      <c r="N91" s="1">
        <v>750</v>
      </c>
      <c r="O91" s="1">
        <v>446.8</v>
      </c>
      <c r="P91" s="1">
        <v>500</v>
      </c>
      <c r="Q91" s="1">
        <v>459.44171466089239</v>
      </c>
      <c r="R91" s="1">
        <v>434.01345822969853</v>
      </c>
      <c r="S91" s="1">
        <v>391</v>
      </c>
      <c r="T91" s="1">
        <v>400</v>
      </c>
      <c r="U91" s="1">
        <v>400</v>
      </c>
      <c r="V91" s="1">
        <v>400</v>
      </c>
      <c r="W91" s="1">
        <v>400</v>
      </c>
      <c r="X91" s="1">
        <v>350</v>
      </c>
      <c r="Y91" s="1">
        <v>375</v>
      </c>
      <c r="Z91" s="1">
        <v>407</v>
      </c>
      <c r="AA91" s="1">
        <v>407</v>
      </c>
      <c r="AB91" s="1">
        <v>350</v>
      </c>
      <c r="AC91" s="1">
        <v>392</v>
      </c>
      <c r="AD91" s="1">
        <v>350</v>
      </c>
      <c r="AE91" s="1">
        <v>300</v>
      </c>
      <c r="AF91" s="1">
        <v>322</v>
      </c>
      <c r="AG91" s="1">
        <v>300.1526790335879</v>
      </c>
      <c r="AH91" s="1">
        <v>309.03443025000007</v>
      </c>
      <c r="AI91" s="1">
        <v>280.00000000000006</v>
      </c>
      <c r="AJ91" s="1">
        <v>249.70408780775026</v>
      </c>
      <c r="AK91" s="1">
        <v>273.09237084647162</v>
      </c>
      <c r="AL91" s="1">
        <v>268.10643453611061</v>
      </c>
      <c r="AM91" s="1">
        <v>273.6893198486635</v>
      </c>
      <c r="AN91" s="1">
        <v>290.91936201276712</v>
      </c>
      <c r="AO91" s="1">
        <v>188.21219430899126</v>
      </c>
      <c r="AP91" s="1">
        <v>215.98920788361292</v>
      </c>
      <c r="AQ91" s="1">
        <v>183.68610844018929</v>
      </c>
      <c r="AR91" s="1">
        <v>199</v>
      </c>
      <c r="AS91" s="1">
        <v>250</v>
      </c>
      <c r="AT91" s="1">
        <v>250</v>
      </c>
      <c r="AU91" s="1">
        <v>168</v>
      </c>
      <c r="AV91" s="1">
        <v>197</v>
      </c>
    </row>
    <row r="92" spans="1:48" x14ac:dyDescent="0.3">
      <c r="A92" s="4">
        <v>410316999</v>
      </c>
      <c r="B92" s="4" t="s">
        <v>170</v>
      </c>
      <c r="C92" s="4" t="str">
        <f>IFERROR(VLOOKUP(Tabela1[[#This Row],[Código]],Cadastro!$A:$J,2,0),"Sem Cadastro")</f>
        <v>ALIMENTOS</v>
      </c>
      <c r="D92" s="4" t="str">
        <f>IFERROR(VLOOKUP(Tabela1[[#This Row],[Código]],Cadastro!$A:$J,3,0),"Sem Cadastro")</f>
        <v>CHOCOLATES</v>
      </c>
      <c r="E92" s="4" t="str">
        <f>IFERROR(VLOOKUP(Tabela1[[#This Row],[Código]],Cadastro!$A:$J,4,0),"Sem Cadastro")</f>
        <v>IMPULSO</v>
      </c>
      <c r="F92" s="4" t="str">
        <f>IFERROR(VLOOKUP(Tabela1[[#This Row],[Código]],Cadastro!$A:$J,5,0),"Sem Cadastro")</f>
        <v>CC</v>
      </c>
      <c r="G92" s="5" t="s">
        <v>100</v>
      </c>
      <c r="H92" s="1">
        <v>303</v>
      </c>
      <c r="I92" s="1">
        <v>357.33203027633181</v>
      </c>
      <c r="J92" s="1">
        <v>293.86814800367353</v>
      </c>
      <c r="K92" s="1">
        <v>356</v>
      </c>
      <c r="L92" s="1">
        <v>278.80197682896898</v>
      </c>
      <c r="M92" s="1">
        <v>206</v>
      </c>
      <c r="N92" s="1">
        <v>350</v>
      </c>
      <c r="O92" s="1">
        <v>249.8</v>
      </c>
      <c r="P92" s="1">
        <v>249.79999999999998</v>
      </c>
      <c r="Q92" s="1">
        <v>275.66502879653547</v>
      </c>
      <c r="R92" s="1">
        <v>260.40807493781909</v>
      </c>
      <c r="S92" s="1">
        <v>246</v>
      </c>
      <c r="T92" s="1">
        <v>260</v>
      </c>
      <c r="U92" s="1">
        <v>300</v>
      </c>
      <c r="V92" s="1">
        <v>400</v>
      </c>
      <c r="W92" s="1">
        <v>300</v>
      </c>
      <c r="X92" s="1">
        <v>250</v>
      </c>
      <c r="Y92" s="1">
        <v>250</v>
      </c>
      <c r="Z92" s="1">
        <v>272</v>
      </c>
      <c r="AA92" s="1">
        <v>272</v>
      </c>
      <c r="AB92" s="1">
        <v>225</v>
      </c>
      <c r="AC92" s="1">
        <v>226</v>
      </c>
      <c r="AD92" s="1">
        <v>225</v>
      </c>
      <c r="AE92" s="1">
        <v>200</v>
      </c>
      <c r="AF92" s="1">
        <v>215</v>
      </c>
      <c r="AG92" s="1">
        <v>186.71295855107232</v>
      </c>
      <c r="AH92" s="1">
        <v>204.75</v>
      </c>
      <c r="AI92" s="1">
        <v>180.00000000000014</v>
      </c>
      <c r="AJ92" s="1">
        <v>222.12758578445582</v>
      </c>
      <c r="AK92" s="1">
        <v>185.821838586464</v>
      </c>
      <c r="AL92" s="1">
        <v>186.21544880869348</v>
      </c>
      <c r="AM92" s="1">
        <v>201.66766777541207</v>
      </c>
      <c r="AN92" s="1">
        <v>194.12251894946638</v>
      </c>
      <c r="AO92" s="1">
        <v>126.19081549560553</v>
      </c>
      <c r="AP92" s="1">
        <v>125.13106223097057</v>
      </c>
      <c r="AQ92" s="1">
        <v>122.59263380932822</v>
      </c>
      <c r="AR92" s="1">
        <v>121</v>
      </c>
      <c r="AS92" s="1">
        <v>180</v>
      </c>
      <c r="AT92" s="1">
        <v>150</v>
      </c>
      <c r="AU92" s="1">
        <v>98</v>
      </c>
      <c r="AV92" s="1">
        <v>108</v>
      </c>
    </row>
    <row r="93" spans="1:48" x14ac:dyDescent="0.3">
      <c r="A93" s="4">
        <v>410313581</v>
      </c>
      <c r="B93" s="4" t="s">
        <v>171</v>
      </c>
      <c r="C93" s="4" t="str">
        <f>IFERROR(VLOOKUP(Tabela1[[#This Row],[Código]],Cadastro!$A:$J,2,0),"Sem Cadastro")</f>
        <v>ALIMENTOS</v>
      </c>
      <c r="D93" s="4" t="str">
        <f>IFERROR(VLOOKUP(Tabela1[[#This Row],[Código]],Cadastro!$A:$J,3,0),"Sem Cadastro")</f>
        <v>CHOCOLATES</v>
      </c>
      <c r="E93" s="4" t="str">
        <f>IFERROR(VLOOKUP(Tabela1[[#This Row],[Código]],Cadastro!$A:$J,4,0),"Sem Cadastro")</f>
        <v>TABLETE CULINÁRIO</v>
      </c>
      <c r="F93" s="4" t="str">
        <f>IFERROR(VLOOKUP(Tabela1[[#This Row],[Código]],Cadastro!$A:$J,5,0),"Sem Cadastro")</f>
        <v>CD</v>
      </c>
      <c r="G93" s="5" t="s">
        <v>100</v>
      </c>
      <c r="H93" s="1">
        <v>366.99999999999994</v>
      </c>
      <c r="I93" s="1">
        <v>250</v>
      </c>
      <c r="J93" s="1">
        <v>239.42511286917119</v>
      </c>
      <c r="K93" s="1">
        <v>208</v>
      </c>
      <c r="L93" s="1">
        <v>402.95911615064648</v>
      </c>
      <c r="M93" s="1">
        <v>425</v>
      </c>
      <c r="N93" s="1">
        <v>150</v>
      </c>
      <c r="O93" s="1">
        <v>170</v>
      </c>
      <c r="P93" s="1">
        <v>170</v>
      </c>
      <c r="Q93" s="1">
        <v>183.77668586435695</v>
      </c>
      <c r="R93" s="1">
        <v>173.60538329187941</v>
      </c>
      <c r="S93" s="1">
        <v>144</v>
      </c>
      <c r="T93" s="1">
        <v>0</v>
      </c>
      <c r="U93" s="1">
        <v>300</v>
      </c>
      <c r="V93" s="1">
        <v>300</v>
      </c>
      <c r="W93" s="1">
        <v>250</v>
      </c>
      <c r="X93" s="1">
        <v>200</v>
      </c>
      <c r="Y93" s="1">
        <v>250</v>
      </c>
      <c r="Z93" s="1">
        <v>202</v>
      </c>
      <c r="AA93" s="1">
        <v>202</v>
      </c>
      <c r="AB93" s="1">
        <v>150</v>
      </c>
      <c r="AC93" s="1">
        <v>123</v>
      </c>
      <c r="AD93" s="1">
        <v>100</v>
      </c>
      <c r="AE93" s="1">
        <v>100</v>
      </c>
      <c r="AF93" s="1">
        <v>161</v>
      </c>
      <c r="AG93" s="1">
        <v>131.86850101847139</v>
      </c>
      <c r="AH93" s="1">
        <v>168</v>
      </c>
      <c r="AI93" s="1">
        <v>200.00000000000023</v>
      </c>
      <c r="AJ93" s="1">
        <v>224.81823183987623</v>
      </c>
      <c r="AK93" s="1">
        <v>236.96231259095444</v>
      </c>
      <c r="AL93" s="1">
        <v>261.74939156366179</v>
      </c>
      <c r="AM93" s="1">
        <v>244.06747860012226</v>
      </c>
      <c r="AN93" s="1">
        <v>263.55600543071552</v>
      </c>
      <c r="AO93" s="1">
        <v>139.37065837149893</v>
      </c>
      <c r="AP93" s="1">
        <v>160.50963861337183</v>
      </c>
      <c r="AQ93" s="1">
        <v>118.39738824324574</v>
      </c>
      <c r="AR93" s="1">
        <v>133</v>
      </c>
      <c r="AS93" s="1">
        <v>100</v>
      </c>
      <c r="AT93" s="1">
        <v>100</v>
      </c>
      <c r="AU93" s="1">
        <v>120</v>
      </c>
      <c r="AV93" s="1">
        <v>100</v>
      </c>
    </row>
    <row r="94" spans="1:48" x14ac:dyDescent="0.3">
      <c r="A94" s="4">
        <v>410030204</v>
      </c>
      <c r="B94" s="4" t="s">
        <v>172</v>
      </c>
      <c r="C94" s="4" t="str">
        <f>IFERROR(VLOOKUP(Tabela1[[#This Row],[Código]],Cadastro!$A:$J,2,0),"Sem Cadastro")</f>
        <v>ALIMENTOS</v>
      </c>
      <c r="D94" s="4" t="str">
        <f>IFERROR(VLOOKUP(Tabela1[[#This Row],[Código]],Cadastro!$A:$J,3,0),"Sem Cadastro")</f>
        <v>BARRAS</v>
      </c>
      <c r="E94" s="4" t="str">
        <f>IFERROR(VLOOKUP(Tabela1[[#This Row],[Código]],Cadastro!$A:$J,4,0),"Sem Cadastro")</f>
        <v>BARRA CEREAIS</v>
      </c>
      <c r="F94" s="4" t="str">
        <f>IFERROR(VLOOKUP(Tabela1[[#This Row],[Código]],Cadastro!$A:$J,5,0),"Sem Cadastro")</f>
        <v>CC</v>
      </c>
      <c r="G94" s="5" t="s">
        <v>165</v>
      </c>
      <c r="H94" s="1">
        <v>344</v>
      </c>
      <c r="I94" s="1">
        <v>404.75833333333327</v>
      </c>
      <c r="J94" s="1">
        <v>302.52564800906742</v>
      </c>
      <c r="K94" s="1">
        <v>258</v>
      </c>
      <c r="L94" s="1">
        <v>225.64908196589215</v>
      </c>
      <c r="M94" s="1">
        <v>0</v>
      </c>
      <c r="N94" s="1">
        <v>0</v>
      </c>
      <c r="O94" s="1">
        <v>0</v>
      </c>
      <c r="P94" s="1">
        <v>599.99999999999989</v>
      </c>
      <c r="Q94" s="1">
        <v>367.5533717287139</v>
      </c>
      <c r="R94" s="1">
        <v>347.21076658375881</v>
      </c>
      <c r="S94" s="1">
        <v>279</v>
      </c>
      <c r="T94" s="1">
        <v>225</v>
      </c>
      <c r="U94" s="1">
        <v>250</v>
      </c>
      <c r="V94" s="1">
        <v>350</v>
      </c>
      <c r="W94" s="1">
        <v>350</v>
      </c>
      <c r="X94" s="1">
        <v>300</v>
      </c>
      <c r="Y94" s="1">
        <v>275</v>
      </c>
      <c r="Z94" s="1">
        <v>215</v>
      </c>
      <c r="AA94" s="1">
        <v>215</v>
      </c>
      <c r="AB94" s="1">
        <v>200</v>
      </c>
      <c r="AC94" s="1">
        <v>167</v>
      </c>
      <c r="AD94" s="1">
        <v>175</v>
      </c>
      <c r="AE94" s="1">
        <v>170</v>
      </c>
      <c r="AF94" s="1">
        <v>215</v>
      </c>
      <c r="AG94" s="1">
        <v>154.80042999999998</v>
      </c>
      <c r="AH94" s="1">
        <v>159.73038000000003</v>
      </c>
      <c r="AI94" s="1">
        <v>158.00000000000006</v>
      </c>
      <c r="AJ94" s="1">
        <v>189.81811174555529</v>
      </c>
      <c r="AK94" s="1">
        <v>211.24464717752119</v>
      </c>
      <c r="AL94" s="1">
        <v>227.73135166964252</v>
      </c>
      <c r="AM94" s="1">
        <v>189.24968083581015</v>
      </c>
      <c r="AN94" s="1">
        <v>210.59430695567704</v>
      </c>
      <c r="AO94" s="1">
        <v>138.58469272711562</v>
      </c>
      <c r="AP94" s="1">
        <v>142.28892353656181</v>
      </c>
      <c r="AQ94" s="1">
        <v>123.11168132999883</v>
      </c>
      <c r="AR94" s="1">
        <v>135</v>
      </c>
      <c r="AS94" s="1">
        <v>120</v>
      </c>
      <c r="AT94" s="1">
        <v>130</v>
      </c>
      <c r="AU94" s="1">
        <v>0</v>
      </c>
      <c r="AV94" s="1">
        <v>0</v>
      </c>
    </row>
    <row r="95" spans="1:48" x14ac:dyDescent="0.3">
      <c r="A95" s="4">
        <v>410060199</v>
      </c>
      <c r="B95" s="4" t="s">
        <v>173</v>
      </c>
      <c r="C95" s="4" t="str">
        <f>IFERROR(VLOOKUP(Tabela1[[#This Row],[Código]],Cadastro!$A:$J,2,0),"Sem Cadastro")</f>
        <v>ALIMENTOS</v>
      </c>
      <c r="D95" s="4" t="str">
        <f>IFERROR(VLOOKUP(Tabela1[[#This Row],[Código]],Cadastro!$A:$J,3,0),"Sem Cadastro")</f>
        <v>SHAKE</v>
      </c>
      <c r="E95" s="4" t="str">
        <f>IFERROR(VLOOKUP(Tabela1[[#This Row],[Código]],Cadastro!$A:$J,4,0),"Sem Cadastro")</f>
        <v>SHAKE</v>
      </c>
      <c r="F95" s="4" t="str">
        <f>IFERROR(VLOOKUP(Tabela1[[#This Row],[Código]],Cadastro!$A:$J,5,0),"Sem Cadastro")</f>
        <v>LANÇAMENTO</v>
      </c>
      <c r="G95" s="5" t="s">
        <v>162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164</v>
      </c>
      <c r="AQ95" s="1">
        <v>72.459742570325588</v>
      </c>
      <c r="AR95" s="1">
        <v>164</v>
      </c>
      <c r="AS95" s="1">
        <v>225</v>
      </c>
      <c r="AT95" s="1">
        <v>159</v>
      </c>
      <c r="AU95" s="1">
        <v>190</v>
      </c>
      <c r="AV95" s="1">
        <v>180</v>
      </c>
    </row>
    <row r="96" spans="1:48" x14ac:dyDescent="0.3">
      <c r="A96" s="4">
        <v>410030202</v>
      </c>
      <c r="B96" s="4" t="s">
        <v>174</v>
      </c>
      <c r="C96" s="4" t="str">
        <f>IFERROR(VLOOKUP(Tabela1[[#This Row],[Código]],Cadastro!$A:$J,2,0),"Sem Cadastro")</f>
        <v>ALIMENTOS</v>
      </c>
      <c r="D96" s="4" t="str">
        <f>IFERROR(VLOOKUP(Tabela1[[#This Row],[Código]],Cadastro!$A:$J,3,0),"Sem Cadastro")</f>
        <v>BARRAS</v>
      </c>
      <c r="E96" s="4" t="str">
        <f>IFERROR(VLOOKUP(Tabela1[[#This Row],[Código]],Cadastro!$A:$J,4,0),"Sem Cadastro")</f>
        <v>BARRA CEREAIS</v>
      </c>
      <c r="F96" s="4" t="str">
        <f>IFERROR(VLOOKUP(Tabela1[[#This Row],[Código]],Cadastro!$A:$J,5,0),"Sem Cadastro")</f>
        <v>CC</v>
      </c>
      <c r="G96" s="5" t="s">
        <v>165</v>
      </c>
      <c r="H96" s="1">
        <v>275</v>
      </c>
      <c r="I96" s="1">
        <v>391.72500000000014</v>
      </c>
      <c r="J96" s="1">
        <v>253.81810591199198</v>
      </c>
      <c r="K96" s="1">
        <v>351</v>
      </c>
      <c r="L96" s="1">
        <v>187.71997849944751</v>
      </c>
      <c r="M96" s="1">
        <v>0</v>
      </c>
      <c r="N96" s="1">
        <v>0</v>
      </c>
      <c r="O96" s="1">
        <v>0</v>
      </c>
      <c r="P96" s="1">
        <v>500.00000000000006</v>
      </c>
      <c r="Q96" s="1">
        <v>367.5533717287139</v>
      </c>
      <c r="R96" s="1">
        <v>347.21076658375881</v>
      </c>
      <c r="S96" s="1">
        <v>272</v>
      </c>
      <c r="T96" s="1">
        <v>250</v>
      </c>
      <c r="U96" s="1">
        <v>275</v>
      </c>
      <c r="V96" s="1">
        <v>381.03000000000009</v>
      </c>
      <c r="W96" s="1">
        <v>300</v>
      </c>
      <c r="X96" s="1">
        <v>275</v>
      </c>
      <c r="Y96" s="1">
        <v>250</v>
      </c>
      <c r="Z96" s="1">
        <v>260</v>
      </c>
      <c r="AA96" s="1">
        <v>260</v>
      </c>
      <c r="AB96" s="1">
        <v>220</v>
      </c>
      <c r="AC96" s="1">
        <v>129</v>
      </c>
      <c r="AD96" s="1">
        <v>150</v>
      </c>
      <c r="AE96" s="1">
        <v>150</v>
      </c>
      <c r="AF96" s="1">
        <v>161</v>
      </c>
      <c r="AG96" s="1">
        <v>156.56542999999996</v>
      </c>
      <c r="AH96" s="1">
        <v>160.54037999999997</v>
      </c>
      <c r="AI96" s="1">
        <v>159.00000000000006</v>
      </c>
      <c r="AJ96" s="1">
        <v>182.89049132685489</v>
      </c>
      <c r="AK96" s="1">
        <v>210.23295587547011</v>
      </c>
      <c r="AL96" s="1">
        <v>226.82101706674018</v>
      </c>
      <c r="AM96" s="1">
        <v>211.00156123126996</v>
      </c>
      <c r="AN96" s="1">
        <v>212.17347769863446</v>
      </c>
      <c r="AO96" s="1">
        <v>141.54366078293575</v>
      </c>
      <c r="AP96" s="1">
        <v>127.92077631242049</v>
      </c>
      <c r="AQ96" s="1">
        <v>87.274480252494158</v>
      </c>
      <c r="AR96" s="1">
        <v>117</v>
      </c>
      <c r="AS96" s="1">
        <v>135</v>
      </c>
      <c r="AT96" s="1">
        <v>140</v>
      </c>
      <c r="AU96" s="1">
        <v>0</v>
      </c>
      <c r="AV96" s="1">
        <v>0</v>
      </c>
    </row>
    <row r="97" spans="1:48" x14ac:dyDescent="0.3">
      <c r="A97" s="4">
        <v>410030002</v>
      </c>
      <c r="B97" s="4" t="s">
        <v>175</v>
      </c>
      <c r="C97" s="4" t="str">
        <f>IFERROR(VLOOKUP(Tabela1[[#This Row],[Código]],Cadastro!$A:$J,2,0),"Sem Cadastro")</f>
        <v>ALIMENTOS</v>
      </c>
      <c r="D97" s="4" t="str">
        <f>IFERROR(VLOOKUP(Tabela1[[#This Row],[Código]],Cadastro!$A:$J,3,0),"Sem Cadastro")</f>
        <v>BARRAS</v>
      </c>
      <c r="E97" s="4" t="str">
        <f>IFERROR(VLOOKUP(Tabela1[[#This Row],[Código]],Cadastro!$A:$J,4,0),"Sem Cadastro")</f>
        <v>BARRA CEREAIS</v>
      </c>
      <c r="F97" s="4" t="str">
        <f>IFERROR(VLOOKUP(Tabela1[[#This Row],[Código]],Cadastro!$A:$J,5,0),"Sem Cadastro")</f>
        <v>CC</v>
      </c>
      <c r="G97" s="5" t="s">
        <v>165</v>
      </c>
      <c r="H97" s="1">
        <v>343.99999999999994</v>
      </c>
      <c r="I97" s="1">
        <v>409.11253237921261</v>
      </c>
      <c r="J97" s="1">
        <v>351.89029490894154</v>
      </c>
      <c r="K97" s="1">
        <v>443</v>
      </c>
      <c r="L97" s="1">
        <v>265.76447431538406</v>
      </c>
      <c r="M97" s="1">
        <v>92</v>
      </c>
      <c r="N97" s="1">
        <v>0</v>
      </c>
      <c r="O97" s="1">
        <v>0</v>
      </c>
      <c r="P97" s="1">
        <v>554.72777777777787</v>
      </c>
      <c r="Q97" s="1">
        <v>514.57472042019947</v>
      </c>
      <c r="R97" s="1">
        <v>390.61211240672867</v>
      </c>
      <c r="S97" s="1">
        <v>303</v>
      </c>
      <c r="T97" s="1">
        <v>300</v>
      </c>
      <c r="U97" s="1">
        <v>350</v>
      </c>
      <c r="V97" s="1">
        <v>420.87</v>
      </c>
      <c r="W97" s="1">
        <v>350</v>
      </c>
      <c r="X97" s="1">
        <v>250</v>
      </c>
      <c r="Y97" s="1">
        <v>240</v>
      </c>
      <c r="Z97" s="1">
        <v>246</v>
      </c>
      <c r="AA97" s="1">
        <v>246</v>
      </c>
      <c r="AB97" s="1">
        <v>200</v>
      </c>
      <c r="AC97" s="1">
        <v>153</v>
      </c>
      <c r="AD97" s="1">
        <v>150</v>
      </c>
      <c r="AE97" s="1">
        <v>150</v>
      </c>
      <c r="AF97" s="1">
        <v>193</v>
      </c>
      <c r="AG97" s="1">
        <v>161.35431000000003</v>
      </c>
      <c r="AH97" s="1">
        <v>159.25846000000004</v>
      </c>
      <c r="AI97" s="1">
        <v>151.99999999999997</v>
      </c>
      <c r="AJ97" s="1">
        <v>170.59725480935734</v>
      </c>
      <c r="AK97" s="1">
        <v>189.32276511235858</v>
      </c>
      <c r="AL97" s="1">
        <v>212.04738531287441</v>
      </c>
      <c r="AM97" s="1">
        <v>195.01783234212178</v>
      </c>
      <c r="AN97" s="1">
        <v>193.69033592302154</v>
      </c>
      <c r="AO97" s="1">
        <v>145.05853490866386</v>
      </c>
      <c r="AP97" s="1">
        <v>126.31717728734831</v>
      </c>
      <c r="AQ97" s="1">
        <v>82.066459672453632</v>
      </c>
      <c r="AR97" s="1">
        <v>142</v>
      </c>
      <c r="AS97" s="1">
        <v>163</v>
      </c>
      <c r="AT97" s="1">
        <v>175</v>
      </c>
      <c r="AU97" s="1">
        <v>0</v>
      </c>
      <c r="AV97" s="1">
        <v>0</v>
      </c>
    </row>
    <row r="98" spans="1:48" x14ac:dyDescent="0.3">
      <c r="A98" s="4">
        <v>419362187</v>
      </c>
      <c r="B98" s="4" t="s">
        <v>176</v>
      </c>
      <c r="C98" s="4" t="str">
        <f>IFERROR(VLOOKUP(Tabela1[[#This Row],[Código]],Cadastro!$A:$J,2,0),"Sem Cadastro")</f>
        <v>ALIMENTOS</v>
      </c>
      <c r="D98" s="4" t="str">
        <f>IFERROR(VLOOKUP(Tabela1[[#This Row],[Código]],Cadastro!$A:$J,3,0),"Sem Cadastro")</f>
        <v>SOBREMESAS EM PÓ</v>
      </c>
      <c r="E98" s="4" t="str">
        <f>IFERROR(VLOOKUP(Tabela1[[#This Row],[Código]],Cadastro!$A:$J,4,0),"Sem Cadastro")</f>
        <v>MISTURA PARA BOLO</v>
      </c>
      <c r="F98" s="4" t="str">
        <f>IFERROR(VLOOKUP(Tabela1[[#This Row],[Código]],Cadastro!$A:$J,5,0),"Sem Cadastro")</f>
        <v>CC</v>
      </c>
      <c r="G98" s="5" t="s">
        <v>148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153</v>
      </c>
      <c r="AV98" s="1">
        <v>156</v>
      </c>
    </row>
    <row r="99" spans="1:48" x14ac:dyDescent="0.3">
      <c r="A99" s="4">
        <v>410030602</v>
      </c>
      <c r="B99" s="4" t="s">
        <v>177</v>
      </c>
      <c r="C99" s="4" t="str">
        <f>IFERROR(VLOOKUP(Tabela1[[#This Row],[Código]],Cadastro!$A:$J,2,0),"Sem Cadastro")</f>
        <v>ALIMENTOS</v>
      </c>
      <c r="D99" s="4" t="str">
        <f>IFERROR(VLOOKUP(Tabela1[[#This Row],[Código]],Cadastro!$A:$J,3,0),"Sem Cadastro")</f>
        <v>BARRAS</v>
      </c>
      <c r="E99" s="4" t="str">
        <f>IFERROR(VLOOKUP(Tabela1[[#This Row],[Código]],Cadastro!$A:$J,4,0),"Sem Cadastro")</f>
        <v>BARRA CEREAIS</v>
      </c>
      <c r="F99" s="4" t="str">
        <f>IFERROR(VLOOKUP(Tabela1[[#This Row],[Código]],Cadastro!$A:$J,5,0),"Sem Cadastro")</f>
        <v>CC</v>
      </c>
      <c r="G99" s="5" t="s">
        <v>165</v>
      </c>
      <c r="H99" s="1">
        <v>275</v>
      </c>
      <c r="I99" s="1">
        <v>325</v>
      </c>
      <c r="J99" s="1">
        <v>231.93177824336743</v>
      </c>
      <c r="K99" s="1">
        <v>401</v>
      </c>
      <c r="L99" s="1">
        <v>204.42803941301091</v>
      </c>
      <c r="M99" s="1">
        <v>0</v>
      </c>
      <c r="N99" s="1">
        <v>0</v>
      </c>
      <c r="O99" s="1">
        <v>0</v>
      </c>
      <c r="P99" s="1">
        <v>450</v>
      </c>
      <c r="Q99" s="1">
        <v>275.66502879653547</v>
      </c>
      <c r="R99" s="1">
        <v>260.40807493781909</v>
      </c>
      <c r="S99" s="1">
        <v>174</v>
      </c>
      <c r="T99" s="1">
        <v>200</v>
      </c>
      <c r="U99" s="1">
        <v>250</v>
      </c>
      <c r="V99" s="1">
        <v>350</v>
      </c>
      <c r="W99" s="1">
        <v>300</v>
      </c>
      <c r="X99" s="1">
        <v>267.42955465587039</v>
      </c>
      <c r="Y99" s="1">
        <v>270</v>
      </c>
      <c r="Z99" s="1">
        <v>156</v>
      </c>
      <c r="AA99" s="1">
        <v>156</v>
      </c>
      <c r="AB99" s="1">
        <v>150</v>
      </c>
      <c r="AC99" s="1">
        <v>118</v>
      </c>
      <c r="AD99" s="1">
        <v>110</v>
      </c>
      <c r="AE99" s="1">
        <v>120</v>
      </c>
      <c r="AF99" s="1">
        <v>129</v>
      </c>
      <c r="AG99" s="1">
        <v>101.50834999999996</v>
      </c>
      <c r="AH99" s="1">
        <v>104.74110000000002</v>
      </c>
      <c r="AI99" s="1">
        <v>103.00000000000004</v>
      </c>
      <c r="AJ99" s="1">
        <v>124.56289304771482</v>
      </c>
      <c r="AK99" s="1">
        <v>64.179490762927145</v>
      </c>
      <c r="AL99" s="1">
        <v>159.3557128741655</v>
      </c>
      <c r="AM99" s="1">
        <v>149.93846810884696</v>
      </c>
      <c r="AN99" s="1">
        <v>214.53286678479463</v>
      </c>
      <c r="AO99" s="1">
        <v>134.74439103866152</v>
      </c>
      <c r="AP99" s="1">
        <v>126.77713819171157</v>
      </c>
      <c r="AQ99" s="1">
        <v>89.231109315818941</v>
      </c>
      <c r="AR99" s="1">
        <v>110</v>
      </c>
      <c r="AS99" s="1">
        <v>131</v>
      </c>
      <c r="AT99" s="1">
        <v>119</v>
      </c>
      <c r="AU99" s="1">
        <v>0</v>
      </c>
      <c r="AV99" s="1">
        <v>0</v>
      </c>
    </row>
    <row r="100" spans="1:48" x14ac:dyDescent="0.3">
      <c r="A100" s="4">
        <v>410360387</v>
      </c>
      <c r="B100" s="4" t="s">
        <v>178</v>
      </c>
      <c r="C100" s="4" t="str">
        <f>IFERROR(VLOOKUP(Tabela1[[#This Row],[Código]],Cadastro!$A:$J,2,0),"Sem Cadastro")</f>
        <v>ALIMENTOS</v>
      </c>
      <c r="D100" s="4" t="str">
        <f>IFERROR(VLOOKUP(Tabela1[[#This Row],[Código]],Cadastro!$A:$J,3,0),"Sem Cadastro")</f>
        <v>SOBREMESAS EM PÓ</v>
      </c>
      <c r="E100" s="4" t="str">
        <f>IFERROR(VLOOKUP(Tabela1[[#This Row],[Código]],Cadastro!$A:$J,4,0),"Sem Cadastro")</f>
        <v>MISTURA PARA BOLO</v>
      </c>
      <c r="F100" s="4" t="str">
        <f>IFERROR(VLOOKUP(Tabela1[[#This Row],[Código]],Cadastro!$A:$J,5,0),"Sem Cadastro")</f>
        <v>CC</v>
      </c>
      <c r="G100" s="5" t="s">
        <v>148</v>
      </c>
      <c r="H100" s="1">
        <v>251.69444646873529</v>
      </c>
      <c r="I100" s="1">
        <v>282.44445401364538</v>
      </c>
      <c r="J100" s="1">
        <v>219.4465008600998</v>
      </c>
      <c r="K100" s="1">
        <v>268</v>
      </c>
      <c r="L100" s="1">
        <v>342.98660458815607</v>
      </c>
      <c r="M100" s="1">
        <v>270</v>
      </c>
      <c r="N100" s="1">
        <v>223.33333333333331</v>
      </c>
      <c r="O100" s="1">
        <v>384.55000000000007</v>
      </c>
      <c r="P100" s="1">
        <v>386.60555555555561</v>
      </c>
      <c r="Q100" s="1">
        <v>367.5533717287139</v>
      </c>
      <c r="R100" s="1">
        <v>347.21076658375881</v>
      </c>
      <c r="S100" s="1">
        <v>284</v>
      </c>
      <c r="T100" s="1">
        <v>225</v>
      </c>
      <c r="U100" s="1">
        <v>275</v>
      </c>
      <c r="V100" s="1">
        <v>359.25</v>
      </c>
      <c r="W100" s="1">
        <v>300</v>
      </c>
      <c r="X100" s="1">
        <v>300</v>
      </c>
      <c r="Y100" s="1">
        <v>275</v>
      </c>
      <c r="Z100" s="1">
        <v>270</v>
      </c>
      <c r="AA100" s="1">
        <v>270</v>
      </c>
      <c r="AB100" s="1">
        <v>150</v>
      </c>
      <c r="AC100" s="1">
        <v>127</v>
      </c>
      <c r="AD100" s="1">
        <v>130</v>
      </c>
      <c r="AE100" s="1">
        <v>100</v>
      </c>
      <c r="AF100" s="1">
        <v>134</v>
      </c>
      <c r="AG100" s="1">
        <v>169.00955250000013</v>
      </c>
      <c r="AH100" s="1">
        <v>172.34896499999999</v>
      </c>
      <c r="AI100" s="1">
        <v>175.00000000000037</v>
      </c>
      <c r="AJ100" s="1">
        <v>186.77998040197096</v>
      </c>
      <c r="AK100" s="1">
        <v>186.92964747717357</v>
      </c>
      <c r="AL100" s="1">
        <v>227.52610531190683</v>
      </c>
      <c r="AM100" s="1">
        <v>186.67751932451739</v>
      </c>
      <c r="AN100" s="1">
        <v>207.6708541240119</v>
      </c>
      <c r="AO100" s="1">
        <v>128.221150317606</v>
      </c>
      <c r="AP100" s="1">
        <v>129.42103085397417</v>
      </c>
      <c r="AQ100" s="1">
        <v>96.118331123468124</v>
      </c>
      <c r="AR100" s="1">
        <v>136</v>
      </c>
      <c r="AS100" s="1">
        <v>161</v>
      </c>
      <c r="AT100" s="1">
        <v>163</v>
      </c>
      <c r="AU100" s="1">
        <v>151</v>
      </c>
      <c r="AV100" s="1">
        <v>159</v>
      </c>
    </row>
    <row r="101" spans="1:48" x14ac:dyDescent="0.3">
      <c r="A101" s="4">
        <v>410030704</v>
      </c>
      <c r="B101" s="4" t="s">
        <v>179</v>
      </c>
      <c r="C101" s="4" t="str">
        <f>IFERROR(VLOOKUP(Tabela1[[#This Row],[Código]],Cadastro!$A:$J,2,0),"Sem Cadastro")</f>
        <v>ALIMENTOS</v>
      </c>
      <c r="D101" s="4" t="str">
        <f>IFERROR(VLOOKUP(Tabela1[[#This Row],[Código]],Cadastro!$A:$J,3,0),"Sem Cadastro")</f>
        <v>BARRAS</v>
      </c>
      <c r="E101" s="4" t="str">
        <f>IFERROR(VLOOKUP(Tabela1[[#This Row],[Código]],Cadastro!$A:$J,4,0),"Sem Cadastro")</f>
        <v>BARRA CEREAIS</v>
      </c>
      <c r="F101" s="4" t="str">
        <f>IFERROR(VLOOKUP(Tabela1[[#This Row],[Código]],Cadastro!$A:$J,5,0),"Sem Cadastro")</f>
        <v>CD</v>
      </c>
      <c r="G101" s="5" t="s">
        <v>165</v>
      </c>
      <c r="H101" s="1">
        <v>550.00000000000011</v>
      </c>
      <c r="I101" s="1">
        <v>523.125</v>
      </c>
      <c r="J101" s="1">
        <v>441.14187439687242</v>
      </c>
      <c r="K101" s="1">
        <v>433</v>
      </c>
      <c r="L101" s="1">
        <v>87.250978360144956</v>
      </c>
      <c r="M101" s="1">
        <v>0</v>
      </c>
      <c r="N101" s="1">
        <v>0</v>
      </c>
      <c r="O101" s="1">
        <v>0</v>
      </c>
      <c r="P101" s="1">
        <v>700</v>
      </c>
      <c r="Q101" s="1">
        <v>459.44171466089239</v>
      </c>
      <c r="R101" s="1">
        <v>434.01345822969853</v>
      </c>
      <c r="S101" s="1">
        <v>349</v>
      </c>
      <c r="T101" s="1">
        <v>350</v>
      </c>
      <c r="U101" s="1">
        <v>450</v>
      </c>
      <c r="V101" s="1">
        <v>509.29000000000008</v>
      </c>
      <c r="W101" s="1">
        <v>450</v>
      </c>
      <c r="X101" s="1">
        <v>325</v>
      </c>
      <c r="Y101" s="1">
        <v>300</v>
      </c>
      <c r="Z101" s="1">
        <v>274</v>
      </c>
      <c r="AA101" s="1">
        <v>274</v>
      </c>
      <c r="AB101" s="1">
        <v>250</v>
      </c>
      <c r="AC101" s="1">
        <v>245</v>
      </c>
      <c r="AD101" s="1">
        <v>240</v>
      </c>
      <c r="AE101" s="1">
        <v>240</v>
      </c>
      <c r="AF101" s="1">
        <v>215</v>
      </c>
      <c r="AG101" s="1">
        <v>186.28239000000002</v>
      </c>
      <c r="AH101" s="1">
        <v>191.20373999999998</v>
      </c>
      <c r="AI101" s="1">
        <v>188.99999999999997</v>
      </c>
      <c r="AJ101" s="1">
        <v>218.73346776585021</v>
      </c>
      <c r="AK101" s="1">
        <v>223.9641389915391</v>
      </c>
      <c r="AL101" s="1">
        <v>265.6855591491601</v>
      </c>
      <c r="AM101" s="1">
        <v>212.3552007787558</v>
      </c>
      <c r="AN101" s="1">
        <v>243.8074604277684</v>
      </c>
      <c r="AO101" s="1">
        <v>123.21615820270952</v>
      </c>
      <c r="AP101" s="1">
        <v>245.13770209918073</v>
      </c>
      <c r="AQ101" s="1">
        <v>140.9824814862798</v>
      </c>
      <c r="AR101" s="1">
        <v>103</v>
      </c>
      <c r="AS101" s="1">
        <v>114</v>
      </c>
      <c r="AT101" s="1">
        <v>123</v>
      </c>
      <c r="AU101" s="1">
        <v>0</v>
      </c>
      <c r="AV101" s="1">
        <v>0</v>
      </c>
    </row>
    <row r="102" spans="1:48" x14ac:dyDescent="0.3">
      <c r="A102" s="4">
        <v>410040147</v>
      </c>
      <c r="B102" s="4" t="s">
        <v>180</v>
      </c>
      <c r="C102" s="4" t="str">
        <f>IFERROR(VLOOKUP(Tabela1[[#This Row],[Código]],Cadastro!$A:$J,2,0),"Sem Cadastro")</f>
        <v>ALIMENTOS</v>
      </c>
      <c r="D102" s="4" t="str">
        <f>IFERROR(VLOOKUP(Tabela1[[#This Row],[Código]],Cadastro!$A:$J,3,0),"Sem Cadastro")</f>
        <v>GELEIAS</v>
      </c>
      <c r="E102" s="4" t="str">
        <f>IFERROR(VLOOKUP(Tabela1[[#This Row],[Código]],Cadastro!$A:$J,4,0),"Sem Cadastro")</f>
        <v>GELEIA DE FRUTAS</v>
      </c>
      <c r="F102" s="4" t="str">
        <f>IFERROR(VLOOKUP(Tabela1[[#This Row],[Código]],Cadastro!$A:$J,5,0),"Sem Cadastro")</f>
        <v>CC</v>
      </c>
      <c r="G102" s="5" t="s">
        <v>66</v>
      </c>
      <c r="H102" s="1">
        <v>115</v>
      </c>
      <c r="I102" s="1">
        <v>170.66666666666666</v>
      </c>
      <c r="J102" s="1">
        <v>93.544775479320265</v>
      </c>
      <c r="K102" s="1">
        <v>104</v>
      </c>
      <c r="L102" s="1">
        <v>47.135586010653029</v>
      </c>
      <c r="M102" s="1">
        <v>158</v>
      </c>
      <c r="N102" s="1">
        <v>260</v>
      </c>
      <c r="O102" s="1">
        <v>254</v>
      </c>
      <c r="P102" s="1">
        <v>150</v>
      </c>
      <c r="Q102" s="1">
        <v>150</v>
      </c>
      <c r="R102" s="1">
        <v>150</v>
      </c>
      <c r="S102" s="1">
        <v>118</v>
      </c>
      <c r="T102" s="1">
        <v>100</v>
      </c>
      <c r="U102" s="1">
        <v>125</v>
      </c>
      <c r="V102" s="1">
        <v>173.83</v>
      </c>
      <c r="W102" s="1">
        <v>130</v>
      </c>
      <c r="X102" s="1">
        <v>160</v>
      </c>
      <c r="Y102" s="1">
        <v>140</v>
      </c>
      <c r="Z102" s="1">
        <v>188</v>
      </c>
      <c r="AA102" s="1">
        <v>188</v>
      </c>
      <c r="AB102" s="1">
        <v>180</v>
      </c>
      <c r="AC102" s="1">
        <v>147</v>
      </c>
      <c r="AD102" s="1">
        <v>145</v>
      </c>
      <c r="AE102" s="1">
        <v>145</v>
      </c>
      <c r="AF102" s="1">
        <v>140</v>
      </c>
      <c r="AG102" s="1">
        <v>121.26248249999999</v>
      </c>
      <c r="AH102" s="1">
        <v>140</v>
      </c>
      <c r="AI102" s="1">
        <v>123.57959999999999</v>
      </c>
      <c r="AJ102" s="1">
        <v>122.91984103103157</v>
      </c>
      <c r="AK102" s="1">
        <v>102.72799662175728</v>
      </c>
      <c r="AL102" s="1">
        <v>103.65503654089993</v>
      </c>
      <c r="AM102" s="1">
        <v>58.579520508758272</v>
      </c>
      <c r="AN102" s="1">
        <v>106.27372889865333</v>
      </c>
      <c r="AO102" s="1">
        <v>108.1140823052035</v>
      </c>
      <c r="AP102" s="1">
        <v>74.991679977230916</v>
      </c>
      <c r="AQ102" s="1">
        <v>49.2314040720862</v>
      </c>
      <c r="AR102" s="1">
        <v>99</v>
      </c>
      <c r="AS102" s="1">
        <v>50</v>
      </c>
      <c r="AT102" s="1">
        <v>70</v>
      </c>
      <c r="AU102" s="1">
        <v>90</v>
      </c>
      <c r="AV102" s="1">
        <v>95</v>
      </c>
    </row>
    <row r="103" spans="1:48" x14ac:dyDescent="0.3">
      <c r="A103" s="4">
        <v>410313599</v>
      </c>
      <c r="B103" s="4" t="s">
        <v>181</v>
      </c>
      <c r="C103" s="4" t="str">
        <f>IFERROR(VLOOKUP(Tabela1[[#This Row],[Código]],Cadastro!$A:$J,2,0),"Sem Cadastro")</f>
        <v>ALIMENTOS</v>
      </c>
      <c r="D103" s="4" t="str">
        <f>IFERROR(VLOOKUP(Tabela1[[#This Row],[Código]],Cadastro!$A:$J,3,0),"Sem Cadastro")</f>
        <v>CHOCOLATES</v>
      </c>
      <c r="E103" s="4" t="str">
        <f>IFERROR(VLOOKUP(Tabela1[[#This Row],[Código]],Cadastro!$A:$J,4,0),"Sem Cadastro")</f>
        <v>IMPULSO</v>
      </c>
      <c r="F103" s="4" t="str">
        <f>IFERROR(VLOOKUP(Tabela1[[#This Row],[Código]],Cadastro!$A:$J,5,0),"Sem Cadastro")</f>
        <v>CC</v>
      </c>
      <c r="G103" s="5" t="s">
        <v>100</v>
      </c>
      <c r="H103" s="1">
        <v>319.99999999999989</v>
      </c>
      <c r="I103" s="1">
        <v>319.02499999999992</v>
      </c>
      <c r="J103" s="1">
        <v>276.17021695581064</v>
      </c>
      <c r="K103" s="1">
        <v>305</v>
      </c>
      <c r="L103" s="1">
        <v>242.6981237144262</v>
      </c>
      <c r="M103" s="1">
        <v>222</v>
      </c>
      <c r="N103" s="1">
        <v>600</v>
      </c>
      <c r="O103" s="1">
        <v>335.2</v>
      </c>
      <c r="P103" s="1">
        <v>300</v>
      </c>
      <c r="Q103" s="1">
        <v>277</v>
      </c>
      <c r="R103" s="1">
        <v>303.80942076078895</v>
      </c>
      <c r="S103" s="1">
        <v>272</v>
      </c>
      <c r="T103" s="1">
        <v>0</v>
      </c>
      <c r="U103" s="1">
        <v>300</v>
      </c>
      <c r="V103" s="1">
        <v>300</v>
      </c>
      <c r="W103" s="1">
        <v>300</v>
      </c>
      <c r="X103" s="1">
        <v>220</v>
      </c>
      <c r="Y103" s="1">
        <v>160</v>
      </c>
      <c r="Z103" s="1">
        <v>252</v>
      </c>
      <c r="AA103" s="1">
        <v>252</v>
      </c>
      <c r="AB103" s="1">
        <v>150</v>
      </c>
      <c r="AC103" s="1">
        <v>257</v>
      </c>
      <c r="AD103" s="1">
        <v>230</v>
      </c>
      <c r="AE103" s="1">
        <v>200</v>
      </c>
      <c r="AF103" s="1">
        <v>215</v>
      </c>
      <c r="AG103" s="1">
        <v>171.7886691893633</v>
      </c>
      <c r="AH103" s="1">
        <v>182.04287325000001</v>
      </c>
      <c r="AI103" s="1">
        <v>176.97898868717539</v>
      </c>
      <c r="AJ103" s="1">
        <v>160.62215506962195</v>
      </c>
      <c r="AK103" s="1">
        <v>174.43034697193923</v>
      </c>
      <c r="AL103" s="1">
        <v>176.2756405215203</v>
      </c>
      <c r="AM103" s="1">
        <v>190.45273831959827</v>
      </c>
      <c r="AN103" s="1">
        <v>188.25294409505295</v>
      </c>
      <c r="AO103" s="1">
        <v>123.45586425400855</v>
      </c>
      <c r="AP103" s="1">
        <v>124.57225844600134</v>
      </c>
      <c r="AQ103" s="1">
        <v>92.442450634981412</v>
      </c>
      <c r="AR103" s="1">
        <v>89</v>
      </c>
      <c r="AS103" s="1">
        <v>90</v>
      </c>
      <c r="AT103" s="1">
        <v>80</v>
      </c>
      <c r="AU103" s="1">
        <v>65</v>
      </c>
      <c r="AV103" s="1">
        <v>80</v>
      </c>
    </row>
    <row r="104" spans="1:48" x14ac:dyDescent="0.3">
      <c r="A104" s="4">
        <v>410313699</v>
      </c>
      <c r="B104" s="4" t="s">
        <v>182</v>
      </c>
      <c r="C104" s="4" t="str">
        <f>IFERROR(VLOOKUP(Tabela1[[#This Row],[Código]],Cadastro!$A:$J,2,0),"Sem Cadastro")</f>
        <v>ALIMENTOS</v>
      </c>
      <c r="D104" s="4" t="str">
        <f>IFERROR(VLOOKUP(Tabela1[[#This Row],[Código]],Cadastro!$A:$J,3,0),"Sem Cadastro")</f>
        <v>CHOCOLATES</v>
      </c>
      <c r="E104" s="4" t="str">
        <f>IFERROR(VLOOKUP(Tabela1[[#This Row],[Código]],Cadastro!$A:$J,4,0),"Sem Cadastro")</f>
        <v>IMPULSO</v>
      </c>
      <c r="F104" s="4" t="str">
        <f>IFERROR(VLOOKUP(Tabela1[[#This Row],[Código]],Cadastro!$A:$J,5,0),"Sem Cadastro")</f>
        <v>CC</v>
      </c>
      <c r="G104" s="5" t="s">
        <v>100</v>
      </c>
      <c r="H104" s="1">
        <v>319.99999999999994</v>
      </c>
      <c r="I104" s="1">
        <v>236.97499999999991</v>
      </c>
      <c r="J104" s="1">
        <v>199.40943810197084</v>
      </c>
      <c r="K104" s="1">
        <v>230</v>
      </c>
      <c r="L104" s="1">
        <v>133.38367956206068</v>
      </c>
      <c r="M104" s="1">
        <v>246</v>
      </c>
      <c r="N104" s="1">
        <v>600</v>
      </c>
      <c r="O104" s="1">
        <v>258.8</v>
      </c>
      <c r="P104" s="1">
        <v>300</v>
      </c>
      <c r="Q104" s="1">
        <v>321.60920026262465</v>
      </c>
      <c r="R104" s="1">
        <v>303.80942076078895</v>
      </c>
      <c r="S104" s="1">
        <v>285</v>
      </c>
      <c r="T104" s="1">
        <v>250</v>
      </c>
      <c r="U104" s="1">
        <v>250</v>
      </c>
      <c r="V104" s="1">
        <v>300</v>
      </c>
      <c r="W104" s="1">
        <v>300</v>
      </c>
      <c r="X104" s="1">
        <v>170</v>
      </c>
      <c r="Y104" s="1">
        <v>170</v>
      </c>
      <c r="Z104" s="1">
        <v>204</v>
      </c>
      <c r="AA104" s="1">
        <v>204</v>
      </c>
      <c r="AB104" s="1">
        <v>170</v>
      </c>
      <c r="AC104" s="1">
        <v>290</v>
      </c>
      <c r="AD104" s="1">
        <v>250</v>
      </c>
      <c r="AE104" s="1">
        <v>210</v>
      </c>
      <c r="AF104" s="1">
        <v>188</v>
      </c>
      <c r="AG104" s="1">
        <v>185.12662573090699</v>
      </c>
      <c r="AH104" s="1">
        <v>199.5</v>
      </c>
      <c r="AI104" s="1">
        <v>180.00000000000003</v>
      </c>
      <c r="AJ104" s="1">
        <v>170.36348622641083</v>
      </c>
      <c r="AK104" s="1">
        <v>190.51016699051937</v>
      </c>
      <c r="AL104" s="1">
        <v>189.60852700562128</v>
      </c>
      <c r="AM104" s="1">
        <v>194.50846551319037</v>
      </c>
      <c r="AN104" s="1">
        <v>218.9118823809151</v>
      </c>
      <c r="AO104" s="1">
        <v>114.29968316591149</v>
      </c>
      <c r="AP104" s="1">
        <v>105.88951505181213</v>
      </c>
      <c r="AQ104" s="1">
        <v>101.23907384924283</v>
      </c>
      <c r="AR104" s="1">
        <v>92</v>
      </c>
      <c r="AS104" s="1">
        <v>75</v>
      </c>
      <c r="AT104" s="1">
        <v>80</v>
      </c>
      <c r="AU104" s="1">
        <v>43</v>
      </c>
      <c r="AV104" s="1">
        <v>0</v>
      </c>
    </row>
    <row r="105" spans="1:48" x14ac:dyDescent="0.3">
      <c r="A105" s="4">
        <v>410030702</v>
      </c>
      <c r="B105" s="4" t="s">
        <v>183</v>
      </c>
      <c r="C105" s="4" t="str">
        <f>IFERROR(VLOOKUP(Tabela1[[#This Row],[Código]],Cadastro!$A:$J,2,0),"Sem Cadastro")</f>
        <v>ALIMENTOS</v>
      </c>
      <c r="D105" s="4" t="str">
        <f>IFERROR(VLOOKUP(Tabela1[[#This Row],[Código]],Cadastro!$A:$J,3,0),"Sem Cadastro")</f>
        <v>BARRAS</v>
      </c>
      <c r="E105" s="4" t="str">
        <f>IFERROR(VLOOKUP(Tabela1[[#This Row],[Código]],Cadastro!$A:$J,4,0),"Sem Cadastro")</f>
        <v>BARRA CEREAIS</v>
      </c>
      <c r="F105" s="4" t="str">
        <f>IFERROR(VLOOKUP(Tabela1[[#This Row],[Código]],Cadastro!$A:$J,5,0),"Sem Cadastro")</f>
        <v>CC</v>
      </c>
      <c r="G105" s="5" t="s">
        <v>165</v>
      </c>
      <c r="H105" s="1">
        <v>252.00000000000003</v>
      </c>
      <c r="I105" s="1">
        <v>251.94166666666669</v>
      </c>
      <c r="J105" s="1">
        <v>167.14226390291068</v>
      </c>
      <c r="K105" s="1">
        <v>311</v>
      </c>
      <c r="L105" s="1">
        <v>144.47558554669521</v>
      </c>
      <c r="M105" s="1">
        <v>51</v>
      </c>
      <c r="N105" s="1">
        <v>0</v>
      </c>
      <c r="O105" s="1">
        <v>0</v>
      </c>
      <c r="P105" s="1">
        <v>475</v>
      </c>
      <c r="Q105" s="1">
        <v>367.5533717287139</v>
      </c>
      <c r="R105" s="1">
        <v>347.21076658375881</v>
      </c>
      <c r="S105" s="1">
        <v>271</v>
      </c>
      <c r="T105" s="1">
        <v>225</v>
      </c>
      <c r="U105" s="1">
        <v>250</v>
      </c>
      <c r="V105" s="1">
        <v>313.77999999999997</v>
      </c>
      <c r="W105" s="1">
        <v>250</v>
      </c>
      <c r="X105" s="1">
        <v>131.43174089068827</v>
      </c>
      <c r="Y105" s="1">
        <v>145</v>
      </c>
      <c r="Z105" s="1">
        <v>183</v>
      </c>
      <c r="AA105" s="1">
        <v>183</v>
      </c>
      <c r="AB105" s="1">
        <v>150</v>
      </c>
      <c r="AC105" s="1">
        <v>126</v>
      </c>
      <c r="AD105" s="1">
        <v>112</v>
      </c>
      <c r="AE105" s="1">
        <v>115</v>
      </c>
      <c r="AF105" s="1">
        <v>129</v>
      </c>
      <c r="AG105" s="1">
        <v>125.77962000000002</v>
      </c>
      <c r="AH105" s="1">
        <v>127.76292000000005</v>
      </c>
      <c r="AI105" s="1">
        <v>126.00000000000003</v>
      </c>
      <c r="AJ105" s="1">
        <v>154.67432708645046</v>
      </c>
      <c r="AK105" s="1">
        <v>147.52279367613761</v>
      </c>
      <c r="AL105" s="1">
        <v>158.9103045673333</v>
      </c>
      <c r="AM105" s="1">
        <v>148.90713544699179</v>
      </c>
      <c r="AN105" s="1">
        <v>149.12155445439012</v>
      </c>
      <c r="AO105" s="1">
        <v>177.98344833699656</v>
      </c>
      <c r="AP105" s="1">
        <v>176.09510004781185</v>
      </c>
      <c r="AQ105" s="1">
        <v>158.5916495491243</v>
      </c>
      <c r="AR105" s="1">
        <v>108</v>
      </c>
      <c r="AS105" s="1">
        <v>90</v>
      </c>
      <c r="AT105" s="1">
        <v>123</v>
      </c>
      <c r="AU105" s="1">
        <v>0</v>
      </c>
      <c r="AV105" s="1">
        <v>0</v>
      </c>
    </row>
    <row r="106" spans="1:48" x14ac:dyDescent="0.3">
      <c r="A106" s="4">
        <v>410313681</v>
      </c>
      <c r="B106" s="4" t="s">
        <v>184</v>
      </c>
      <c r="C106" s="4" t="str">
        <f>IFERROR(VLOOKUP(Tabela1[[#This Row],[Código]],Cadastro!$A:$J,2,0),"Sem Cadastro")</f>
        <v>ALIMENTOS</v>
      </c>
      <c r="D106" s="4" t="str">
        <f>IFERROR(VLOOKUP(Tabela1[[#This Row],[Código]],Cadastro!$A:$J,3,0),"Sem Cadastro")</f>
        <v>CHOCOLATES</v>
      </c>
      <c r="E106" s="4" t="str">
        <f>IFERROR(VLOOKUP(Tabela1[[#This Row],[Código]],Cadastro!$A:$J,4,0),"Sem Cadastro")</f>
        <v>TABLETE CULINÁRIO</v>
      </c>
      <c r="F106" s="4" t="str">
        <f>IFERROR(VLOOKUP(Tabela1[[#This Row],[Código]],Cadastro!$A:$J,5,0),"Sem Cadastro")</f>
        <v>CC</v>
      </c>
      <c r="G106" s="5" t="s">
        <v>100</v>
      </c>
      <c r="H106" s="1">
        <v>275.00000000000006</v>
      </c>
      <c r="I106" s="1">
        <v>119.05833333333334</v>
      </c>
      <c r="J106" s="1">
        <v>110.22266884779714</v>
      </c>
      <c r="K106" s="1">
        <v>123</v>
      </c>
      <c r="L106" s="1">
        <v>73.21059103782278</v>
      </c>
      <c r="M106" s="1">
        <v>140</v>
      </c>
      <c r="N106" s="1">
        <v>60</v>
      </c>
      <c r="O106" s="1">
        <v>100</v>
      </c>
      <c r="P106" s="1">
        <v>99.999999999999986</v>
      </c>
      <c r="Q106" s="1">
        <v>91.888342932178475</v>
      </c>
      <c r="R106" s="1">
        <v>86.802691645939703</v>
      </c>
      <c r="S106" s="1">
        <v>72</v>
      </c>
      <c r="T106" s="1">
        <v>195</v>
      </c>
      <c r="U106" s="1">
        <v>200</v>
      </c>
      <c r="V106" s="1">
        <v>150</v>
      </c>
      <c r="W106" s="1">
        <v>200</v>
      </c>
      <c r="X106" s="1">
        <v>250</v>
      </c>
      <c r="Y106" s="1">
        <v>250</v>
      </c>
      <c r="Z106" s="1">
        <v>189</v>
      </c>
      <c r="AA106" s="1">
        <v>189</v>
      </c>
      <c r="AB106" s="1">
        <v>80</v>
      </c>
      <c r="AC106" s="1">
        <v>134</v>
      </c>
      <c r="AD106" s="1">
        <v>80</v>
      </c>
      <c r="AE106" s="1">
        <v>80</v>
      </c>
      <c r="AF106" s="1">
        <v>134</v>
      </c>
      <c r="AG106" s="1">
        <v>101.90729464522978</v>
      </c>
      <c r="AH106" s="1">
        <v>157.5</v>
      </c>
      <c r="AI106" s="1">
        <v>180.0000000000002</v>
      </c>
      <c r="AJ106" s="1">
        <v>198.65079337691225</v>
      </c>
      <c r="AK106" s="1">
        <v>185.82183858646383</v>
      </c>
      <c r="AL106" s="1">
        <v>186.08716261160578</v>
      </c>
      <c r="AM106" s="1">
        <v>186.41191450117304</v>
      </c>
      <c r="AN106" s="1">
        <v>185.65689788691327</v>
      </c>
      <c r="AO106" s="1">
        <v>85.593095147242479</v>
      </c>
      <c r="AP106" s="1">
        <v>78.217679319203071</v>
      </c>
      <c r="AQ106" s="1">
        <v>62.015460253998995</v>
      </c>
      <c r="AR106" s="1">
        <v>88</v>
      </c>
      <c r="AS106" s="1">
        <v>70</v>
      </c>
      <c r="AT106" s="1">
        <v>70</v>
      </c>
      <c r="AU106" s="1">
        <v>70</v>
      </c>
      <c r="AV106" s="1">
        <v>80</v>
      </c>
    </row>
    <row r="107" spans="1:48" x14ac:dyDescent="0.3">
      <c r="A107" s="4">
        <v>410316599</v>
      </c>
      <c r="B107" s="4" t="s">
        <v>185</v>
      </c>
      <c r="C107" s="4" t="str">
        <f>IFERROR(VLOOKUP(Tabela1[[#This Row],[Código]],Cadastro!$A:$J,2,0),"Sem Cadastro")</f>
        <v>ALIMENTOS</v>
      </c>
      <c r="D107" s="4" t="str">
        <f>IFERROR(VLOOKUP(Tabela1[[#This Row],[Código]],Cadastro!$A:$J,3,0),"Sem Cadastro")</f>
        <v>CHOCOLATES</v>
      </c>
      <c r="E107" s="4" t="str">
        <f>IFERROR(VLOOKUP(Tabela1[[#This Row],[Código]],Cadastro!$A:$J,4,0),"Sem Cadastro")</f>
        <v>IMPULSO</v>
      </c>
      <c r="F107" s="4" t="str">
        <f>IFERROR(VLOOKUP(Tabela1[[#This Row],[Código]],Cadastro!$A:$J,5,0),"Sem Cadastro")</f>
        <v>BC</v>
      </c>
      <c r="G107" s="5" t="s">
        <v>100</v>
      </c>
      <c r="H107" s="1">
        <v>229.00000000000003</v>
      </c>
      <c r="I107" s="1">
        <v>265.10833333333329</v>
      </c>
      <c r="J107" s="1">
        <v>227.41657591159711</v>
      </c>
      <c r="K107" s="1">
        <v>185</v>
      </c>
      <c r="L107" s="1">
        <v>60.173088524237897</v>
      </c>
      <c r="M107" s="1">
        <v>204</v>
      </c>
      <c r="N107" s="1">
        <v>450</v>
      </c>
      <c r="O107" s="1">
        <v>195.6</v>
      </c>
      <c r="P107" s="1">
        <v>250</v>
      </c>
      <c r="Q107" s="1">
        <v>275.66502879653547</v>
      </c>
      <c r="R107" s="1">
        <v>260.40807493781909</v>
      </c>
      <c r="S107" s="1">
        <v>248</v>
      </c>
      <c r="T107" s="1">
        <v>200</v>
      </c>
      <c r="U107" s="1">
        <v>200</v>
      </c>
      <c r="V107" s="1">
        <v>210</v>
      </c>
      <c r="W107" s="1">
        <v>210</v>
      </c>
      <c r="X107" s="1">
        <v>150</v>
      </c>
      <c r="Y107" s="1">
        <v>150</v>
      </c>
      <c r="Z107" s="1">
        <v>195</v>
      </c>
      <c r="AA107" s="1">
        <v>195</v>
      </c>
      <c r="AB107" s="1">
        <v>150</v>
      </c>
      <c r="AC107" s="1">
        <v>289</v>
      </c>
      <c r="AD107" s="1">
        <v>300</v>
      </c>
      <c r="AE107" s="1">
        <v>275</v>
      </c>
      <c r="AF107" s="1">
        <v>215</v>
      </c>
      <c r="AG107" s="1">
        <v>174.17343444647554</v>
      </c>
      <c r="AH107" s="1">
        <v>210</v>
      </c>
      <c r="AI107" s="1">
        <v>204.99999999999994</v>
      </c>
      <c r="AJ107" s="1">
        <v>215.81101201420668</v>
      </c>
      <c r="AK107" s="1">
        <v>227.11558049456701</v>
      </c>
      <c r="AL107" s="1">
        <v>227.37537030966587</v>
      </c>
      <c r="AM107" s="1">
        <v>234.54681794753625</v>
      </c>
      <c r="AN107" s="1">
        <v>225.80471280835101</v>
      </c>
      <c r="AO107" s="1">
        <v>137.71720129233066</v>
      </c>
      <c r="AP107" s="1">
        <v>133.55805553423033</v>
      </c>
      <c r="AQ107" s="1">
        <v>125.48173773830072</v>
      </c>
      <c r="AR107" s="1">
        <v>137</v>
      </c>
      <c r="AS107" s="1">
        <v>100</v>
      </c>
      <c r="AT107" s="1">
        <v>100</v>
      </c>
      <c r="AU107" s="1">
        <v>143</v>
      </c>
      <c r="AV107" s="1">
        <v>128</v>
      </c>
    </row>
    <row r="108" spans="1:48" x14ac:dyDescent="0.3">
      <c r="A108" s="4">
        <v>410312164</v>
      </c>
      <c r="B108" s="4" t="s">
        <v>186</v>
      </c>
      <c r="C108" s="4" t="str">
        <f>IFERROR(VLOOKUP(Tabela1[[#This Row],[Código]],Cadastro!$A:$J,2,0),"Sem Cadastro")</f>
        <v>ALIMENTOS</v>
      </c>
      <c r="D108" s="4" t="str">
        <f>IFERROR(VLOOKUP(Tabela1[[#This Row],[Código]],Cadastro!$A:$J,3,0),"Sem Cadastro")</f>
        <v>CHOCOLATES</v>
      </c>
      <c r="E108" s="4" t="str">
        <f>IFERROR(VLOOKUP(Tabela1[[#This Row],[Código]],Cadastro!$A:$J,4,0),"Sem Cadastro")</f>
        <v>VEGANO</v>
      </c>
      <c r="F108" s="4" t="str">
        <f>IFERROR(VLOOKUP(Tabela1[[#This Row],[Código]],Cadastro!$A:$J,5,0),"Sem Cadastro")</f>
        <v>BC</v>
      </c>
      <c r="G108" s="5" t="s">
        <v>100</v>
      </c>
      <c r="H108" s="1">
        <v>441.00000000000011</v>
      </c>
      <c r="I108" s="1">
        <v>191.00000000000011</v>
      </c>
      <c r="J108" s="1">
        <v>389</v>
      </c>
      <c r="K108" s="1">
        <v>389</v>
      </c>
      <c r="L108" s="1">
        <v>390.12219059880908</v>
      </c>
      <c r="M108" s="1">
        <v>429</v>
      </c>
      <c r="N108" s="1">
        <v>350.16666666666663</v>
      </c>
      <c r="O108" s="1">
        <v>400</v>
      </c>
      <c r="P108" s="1">
        <v>500</v>
      </c>
      <c r="Q108" s="1">
        <v>357.44565400617427</v>
      </c>
      <c r="R108" s="1">
        <v>337.66247050270545</v>
      </c>
      <c r="S108" s="1">
        <v>312</v>
      </c>
      <c r="T108" s="1">
        <v>300</v>
      </c>
      <c r="U108" s="1">
        <v>300</v>
      </c>
      <c r="V108" s="1">
        <v>259</v>
      </c>
      <c r="W108" s="1">
        <v>320</v>
      </c>
      <c r="X108" s="1">
        <v>300</v>
      </c>
      <c r="Y108" s="1">
        <v>250</v>
      </c>
      <c r="Z108" s="1">
        <v>230</v>
      </c>
      <c r="AA108" s="1">
        <v>230</v>
      </c>
      <c r="AB108" s="1">
        <v>325</v>
      </c>
      <c r="AC108" s="1">
        <v>245</v>
      </c>
      <c r="AD108" s="1">
        <v>300</v>
      </c>
      <c r="AE108" s="1">
        <v>220</v>
      </c>
      <c r="AF108" s="1">
        <v>322</v>
      </c>
      <c r="AG108" s="1">
        <v>154.34664577846004</v>
      </c>
      <c r="AH108" s="1">
        <v>367.5</v>
      </c>
      <c r="AI108" s="1">
        <v>260.00000000000023</v>
      </c>
      <c r="AJ108" s="1">
        <v>263.43387340288888</v>
      </c>
      <c r="AK108" s="1">
        <v>268.40932240267017</v>
      </c>
      <c r="AL108" s="1">
        <v>243.91288060816476</v>
      </c>
      <c r="AM108" s="1">
        <v>238.98541414259728</v>
      </c>
      <c r="AN108" s="1">
        <v>304.76914712730246</v>
      </c>
      <c r="AO108" s="1">
        <v>150.34865814727448</v>
      </c>
      <c r="AP108" s="1">
        <v>71.273542790368694</v>
      </c>
      <c r="AQ108" s="1">
        <v>73.096419195318774</v>
      </c>
      <c r="AR108" s="1">
        <v>81</v>
      </c>
      <c r="AS108" s="1">
        <v>100</v>
      </c>
      <c r="AT108" s="1">
        <v>100</v>
      </c>
      <c r="AU108" s="1">
        <v>100</v>
      </c>
      <c r="AV108" s="1">
        <v>145</v>
      </c>
    </row>
    <row r="109" spans="1:48" x14ac:dyDescent="0.3">
      <c r="A109" s="4">
        <v>410040647</v>
      </c>
      <c r="B109" s="4" t="s">
        <v>187</v>
      </c>
      <c r="C109" s="4" t="str">
        <f>IFERROR(VLOOKUP(Tabela1[[#This Row],[Código]],Cadastro!$A:$J,2,0),"Sem Cadastro")</f>
        <v>ALIMENTOS</v>
      </c>
      <c r="D109" s="4" t="str">
        <f>IFERROR(VLOOKUP(Tabela1[[#This Row],[Código]],Cadastro!$A:$J,3,0),"Sem Cadastro")</f>
        <v>GELEIAS</v>
      </c>
      <c r="E109" s="4" t="str">
        <f>IFERROR(VLOOKUP(Tabela1[[#This Row],[Código]],Cadastro!$A:$J,4,0),"Sem Cadastro")</f>
        <v>GELEIA DE FRUTAS</v>
      </c>
      <c r="F109" s="4" t="s">
        <v>151</v>
      </c>
      <c r="G109" s="5" t="s">
        <v>66</v>
      </c>
      <c r="H109" s="1">
        <v>0</v>
      </c>
      <c r="I109" s="1">
        <v>0</v>
      </c>
      <c r="J109" s="1">
        <v>0</v>
      </c>
      <c r="K109" s="1">
        <v>46</v>
      </c>
      <c r="L109" s="1">
        <v>70.20193661161089</v>
      </c>
      <c r="M109" s="1">
        <v>75</v>
      </c>
      <c r="N109" s="1">
        <v>60</v>
      </c>
      <c r="O109" s="1">
        <v>60</v>
      </c>
      <c r="P109" s="1">
        <v>50</v>
      </c>
      <c r="Q109" s="1">
        <v>50</v>
      </c>
      <c r="R109" s="1">
        <v>50</v>
      </c>
      <c r="S109" s="1">
        <v>45</v>
      </c>
      <c r="T109" s="1">
        <v>50</v>
      </c>
      <c r="U109" s="1">
        <v>50</v>
      </c>
      <c r="V109" s="1">
        <v>53.709999999999994</v>
      </c>
      <c r="W109" s="1">
        <v>50</v>
      </c>
      <c r="X109" s="1">
        <v>70</v>
      </c>
      <c r="Y109" s="1">
        <v>50</v>
      </c>
      <c r="Z109" s="1">
        <v>48</v>
      </c>
      <c r="AA109" s="1">
        <v>48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</row>
    <row r="110" spans="1:48" x14ac:dyDescent="0.3">
      <c r="A110" s="4">
        <v>410040247</v>
      </c>
      <c r="B110" s="4" t="s">
        <v>188</v>
      </c>
      <c r="C110" s="4" t="str">
        <f>IFERROR(VLOOKUP(Tabela1[[#This Row],[Código]],Cadastro!$A:$J,2,0),"Sem Cadastro")</f>
        <v>ALIMENTOS</v>
      </c>
      <c r="D110" s="4" t="str">
        <f>IFERROR(VLOOKUP(Tabela1[[#This Row],[Código]],Cadastro!$A:$J,3,0),"Sem Cadastro")</f>
        <v>GELEIAS</v>
      </c>
      <c r="E110" s="4" t="str">
        <f>IFERROR(VLOOKUP(Tabela1[[#This Row],[Código]],Cadastro!$A:$J,4,0),"Sem Cadastro")</f>
        <v>GELEIAS ESPECIAIS</v>
      </c>
      <c r="F110" s="4" t="str">
        <f>IFERROR(VLOOKUP(Tabela1[[#This Row],[Código]],Cadastro!$A:$J,5,0),"Sem Cadastro")</f>
        <v>CC</v>
      </c>
      <c r="G110" s="5" t="s">
        <v>66</v>
      </c>
      <c r="H110" s="1">
        <v>42</v>
      </c>
      <c r="I110" s="1">
        <v>57.666666666666664</v>
      </c>
      <c r="J110" s="1">
        <v>62.90073387940258</v>
      </c>
      <c r="K110" s="1">
        <v>42</v>
      </c>
      <c r="L110" s="1">
        <v>49.141355628127613</v>
      </c>
      <c r="M110" s="1">
        <v>61</v>
      </c>
      <c r="N110" s="1">
        <v>125</v>
      </c>
      <c r="O110" s="1">
        <v>137.33333333333334</v>
      </c>
      <c r="P110" s="1">
        <v>50</v>
      </c>
      <c r="Q110" s="1">
        <v>50</v>
      </c>
      <c r="R110" s="1">
        <v>50</v>
      </c>
      <c r="S110" s="1">
        <v>41</v>
      </c>
      <c r="T110" s="1">
        <v>45</v>
      </c>
      <c r="U110" s="1">
        <v>44.999999999999993</v>
      </c>
      <c r="V110" s="1">
        <v>61.059999999999995</v>
      </c>
      <c r="W110" s="1">
        <v>60</v>
      </c>
      <c r="X110" s="1">
        <v>75</v>
      </c>
      <c r="Y110" s="1">
        <v>75</v>
      </c>
      <c r="Z110" s="1">
        <v>96</v>
      </c>
      <c r="AA110" s="1">
        <v>96</v>
      </c>
      <c r="AB110" s="1">
        <v>50</v>
      </c>
      <c r="AC110" s="1">
        <v>49</v>
      </c>
      <c r="AD110" s="1">
        <v>40</v>
      </c>
      <c r="AE110" s="1">
        <v>40</v>
      </c>
      <c r="AF110" s="1">
        <v>54</v>
      </c>
      <c r="AG110" s="1">
        <v>53.569577499999994</v>
      </c>
      <c r="AH110" s="1">
        <v>55.275615000000002</v>
      </c>
      <c r="AI110" s="1">
        <v>70</v>
      </c>
      <c r="AJ110" s="1">
        <v>72.000000000000014</v>
      </c>
      <c r="AK110" s="1">
        <v>61.092139428030045</v>
      </c>
      <c r="AL110" s="1">
        <v>66.520134172994233</v>
      </c>
      <c r="AM110" s="1">
        <v>34.309165330103987</v>
      </c>
      <c r="AN110" s="1">
        <v>65.22242573900067</v>
      </c>
      <c r="AO110" s="1">
        <v>41.27480795537921</v>
      </c>
      <c r="AP110" s="1">
        <v>38.072699065363388</v>
      </c>
      <c r="AQ110" s="1">
        <v>31.508098606135167</v>
      </c>
      <c r="AR110" s="1">
        <v>46</v>
      </c>
      <c r="AS110" s="1">
        <v>40</v>
      </c>
      <c r="AT110" s="1">
        <v>50</v>
      </c>
      <c r="AU110" s="1">
        <v>50</v>
      </c>
      <c r="AV110" s="1">
        <v>55</v>
      </c>
    </row>
    <row r="111" spans="1:48" x14ac:dyDescent="0.3">
      <c r="A111" s="4">
        <v>410066399</v>
      </c>
      <c r="B111" s="4" t="s">
        <v>189</v>
      </c>
      <c r="C111" s="4" t="str">
        <f>IFERROR(VLOOKUP(Tabela1[[#This Row],[Código]],Cadastro!$A:$J,2,0),"Sem Cadastro")</f>
        <v>ALIMENTOS</v>
      </c>
      <c r="D111" s="4" t="str">
        <f>IFERROR(VLOOKUP(Tabela1[[#This Row],[Código]],Cadastro!$A:$J,3,0),"Sem Cadastro")</f>
        <v>SHAKE</v>
      </c>
      <c r="E111" s="4" t="str">
        <f>IFERROR(VLOOKUP(Tabela1[[#This Row],[Código]],Cadastro!$A:$J,4,0),"Sem Cadastro")</f>
        <v>SHAKE</v>
      </c>
      <c r="F111" s="4" t="str">
        <f>IFERROR(VLOOKUP(Tabela1[[#This Row],[Código]],Cadastro!$A:$J,5,0),"Sem Cadastro")</f>
        <v>LANÇAMENTO</v>
      </c>
      <c r="G111" s="5" t="s">
        <v>162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48</v>
      </c>
      <c r="AS111" s="1">
        <v>59</v>
      </c>
      <c r="AT111" s="1">
        <v>52</v>
      </c>
      <c r="AU111" s="1">
        <v>58</v>
      </c>
      <c r="AV111" s="1">
        <v>61</v>
      </c>
    </row>
    <row r="112" spans="1:48" x14ac:dyDescent="0.3">
      <c r="A112" s="4">
        <v>410060499</v>
      </c>
      <c r="B112" s="4" t="s">
        <v>190</v>
      </c>
      <c r="C112" s="4" t="str">
        <f>IFERROR(VLOOKUP(Tabela1[[#This Row],[Código]],Cadastro!$A:$J,2,0),"Sem Cadastro")</f>
        <v>ALIMENTOS</v>
      </c>
      <c r="D112" s="4" t="str">
        <f>IFERROR(VLOOKUP(Tabela1[[#This Row],[Código]],Cadastro!$A:$J,3,0),"Sem Cadastro")</f>
        <v>SHAKE</v>
      </c>
      <c r="E112" s="4" t="str">
        <f>IFERROR(VLOOKUP(Tabela1[[#This Row],[Código]],Cadastro!$A:$J,4,0),"Sem Cadastro")</f>
        <v>SHAKE</v>
      </c>
      <c r="F112" s="4" t="str">
        <f>IFERROR(VLOOKUP(Tabela1[[#This Row],[Código]],Cadastro!$A:$J,5,0),"Sem Cadastro")</f>
        <v>LANÇAMENTO</v>
      </c>
      <c r="G112" s="5" t="s">
        <v>162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138</v>
      </c>
      <c r="AS112" s="1">
        <v>188</v>
      </c>
      <c r="AT112" s="1">
        <v>134</v>
      </c>
      <c r="AU112" s="1">
        <v>167</v>
      </c>
      <c r="AV112" s="1">
        <v>170</v>
      </c>
    </row>
    <row r="113" spans="1:48" x14ac:dyDescent="0.3">
      <c r="A113" s="4">
        <v>410030302</v>
      </c>
      <c r="B113" s="4" t="s">
        <v>191</v>
      </c>
      <c r="C113" s="4" t="str">
        <f>IFERROR(VLOOKUP(Tabela1[[#This Row],[Código]],Cadastro!$A:$J,2,0),"Sem Cadastro")</f>
        <v>ALIMENTOS</v>
      </c>
      <c r="D113" s="4" t="str">
        <f>IFERROR(VLOOKUP(Tabela1[[#This Row],[Código]],Cadastro!$A:$J,3,0),"Sem Cadastro")</f>
        <v>BARRAS</v>
      </c>
      <c r="E113" s="4" t="str">
        <f>IFERROR(VLOOKUP(Tabela1[[#This Row],[Código]],Cadastro!$A:$J,4,0),"Sem Cadastro")</f>
        <v>BARRA CEREAIS</v>
      </c>
      <c r="F113" s="4" t="str">
        <f>IFERROR(VLOOKUP(Tabela1[[#This Row],[Código]],Cadastro!$A:$J,5,0),"Sem Cadastro")</f>
        <v>DESCONTINUADO</v>
      </c>
      <c r="G113" s="5" t="s">
        <v>165</v>
      </c>
      <c r="H113" s="1">
        <v>252</v>
      </c>
      <c r="I113" s="1">
        <v>216.87652063856996</v>
      </c>
      <c r="J113" s="1">
        <v>191.10601976876094</v>
      </c>
      <c r="K113" s="1">
        <v>242</v>
      </c>
      <c r="L113" s="1">
        <v>212.29065631351131</v>
      </c>
      <c r="M113" s="1">
        <v>0</v>
      </c>
      <c r="N113" s="1">
        <v>0</v>
      </c>
      <c r="O113" s="1">
        <v>0</v>
      </c>
      <c r="P113" s="1">
        <v>308.06111111111119</v>
      </c>
      <c r="Q113" s="1">
        <v>285.11421339472787</v>
      </c>
      <c r="R113" s="1">
        <v>217.00672911484926</v>
      </c>
      <c r="S113" s="1">
        <v>172</v>
      </c>
      <c r="T113" s="1">
        <v>200</v>
      </c>
      <c r="U113" s="1">
        <v>200</v>
      </c>
      <c r="V113" s="1">
        <v>258.2700000000001</v>
      </c>
      <c r="W113" s="1">
        <v>250</v>
      </c>
      <c r="X113" s="1">
        <v>147.19595141700404</v>
      </c>
      <c r="Y113" s="1">
        <v>140</v>
      </c>
      <c r="Z113" s="1">
        <v>146</v>
      </c>
      <c r="AA113" s="1">
        <v>146</v>
      </c>
      <c r="AB113" s="1">
        <v>140</v>
      </c>
      <c r="AC113" s="1">
        <v>118</v>
      </c>
      <c r="AD113" s="1">
        <v>110</v>
      </c>
      <c r="AE113" s="1">
        <v>116</v>
      </c>
      <c r="AF113" s="1">
        <v>134</v>
      </c>
      <c r="AG113" s="1">
        <v>92.604910000000018</v>
      </c>
      <c r="AH113" s="1">
        <v>95.398060000000029</v>
      </c>
      <c r="AI113" s="1">
        <v>89.000000000000028</v>
      </c>
      <c r="AJ113" s="1">
        <v>112.96385800977386</v>
      </c>
      <c r="AK113" s="1">
        <v>87.552479862388708</v>
      </c>
      <c r="AL113" s="1">
        <v>144.74373440218136</v>
      </c>
      <c r="AM113" s="1">
        <v>134.16184811982453</v>
      </c>
      <c r="AN113" s="1">
        <v>186.38193527946373</v>
      </c>
      <c r="AO113" s="1">
        <v>89.175580337072219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</row>
    <row r="114" spans="1:48" x14ac:dyDescent="0.3">
      <c r="A114" s="4">
        <v>410030304</v>
      </c>
      <c r="B114" s="4" t="s">
        <v>192</v>
      </c>
      <c r="C114" s="4" t="str">
        <f>IFERROR(VLOOKUP(Tabela1[[#This Row],[Código]],Cadastro!$A:$J,2,0),"Sem Cadastro")</f>
        <v>ALIMENTOS</v>
      </c>
      <c r="D114" s="4" t="str">
        <f>IFERROR(VLOOKUP(Tabela1[[#This Row],[Código]],Cadastro!$A:$J,3,0),"Sem Cadastro")</f>
        <v>BARRAS</v>
      </c>
      <c r="E114" s="4" t="str">
        <f>IFERROR(VLOOKUP(Tabela1[[#This Row],[Código]],Cadastro!$A:$J,4,0),"Sem Cadastro")</f>
        <v>BARRA CEREAIS</v>
      </c>
      <c r="F114" s="4" t="str">
        <f>IFERROR(VLOOKUP(Tabela1[[#This Row],[Código]],Cadastro!$A:$J,5,0),"Sem Cadastro")</f>
        <v>DESCONTINUADO</v>
      </c>
      <c r="G114" s="5" t="s">
        <v>165</v>
      </c>
      <c r="H114" s="1">
        <v>320</v>
      </c>
      <c r="I114" s="1">
        <v>333.56018474267648</v>
      </c>
      <c r="J114" s="1">
        <v>376.84976272432635</v>
      </c>
      <c r="K114" s="1">
        <v>329</v>
      </c>
      <c r="L114" s="1">
        <v>255.53504926626357</v>
      </c>
      <c r="M114" s="1">
        <v>63</v>
      </c>
      <c r="N114" s="1">
        <v>0</v>
      </c>
      <c r="O114" s="1">
        <v>0</v>
      </c>
      <c r="P114" s="1">
        <v>618.59722222222217</v>
      </c>
      <c r="Q114" s="1">
        <v>459.44171466089239</v>
      </c>
      <c r="R114" s="1">
        <v>434.01345822969853</v>
      </c>
      <c r="S114" s="1">
        <v>347</v>
      </c>
      <c r="T114" s="1">
        <v>300</v>
      </c>
      <c r="U114" s="1">
        <v>450</v>
      </c>
      <c r="V114" s="1">
        <v>450</v>
      </c>
      <c r="W114" s="1">
        <v>400</v>
      </c>
      <c r="X114" s="1">
        <v>400</v>
      </c>
      <c r="Y114" s="1">
        <v>325</v>
      </c>
      <c r="Z114" s="1">
        <v>179</v>
      </c>
      <c r="AA114" s="1">
        <v>179</v>
      </c>
      <c r="AB114" s="1">
        <v>150</v>
      </c>
      <c r="AC114" s="1">
        <v>157</v>
      </c>
      <c r="AD114" s="1">
        <v>150</v>
      </c>
      <c r="AE114" s="1">
        <v>150</v>
      </c>
      <c r="AF114" s="1">
        <v>161</v>
      </c>
      <c r="AG114" s="1">
        <v>127.78643</v>
      </c>
      <c r="AH114" s="1">
        <v>123.76638000000001</v>
      </c>
      <c r="AI114" s="1">
        <v>122</v>
      </c>
      <c r="AJ114" s="1">
        <v>156.15146795115123</v>
      </c>
      <c r="AK114" s="1">
        <v>76.785492981721447</v>
      </c>
      <c r="AL114" s="1">
        <v>183.88294764330837</v>
      </c>
      <c r="AM114" s="1">
        <v>1.4566583853448909</v>
      </c>
      <c r="AN114" s="1">
        <v>12.710304226721403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</row>
    <row r="115" spans="1:48" x14ac:dyDescent="0.3">
      <c r="A115" s="4">
        <v>410031105</v>
      </c>
      <c r="B115" s="4" t="s">
        <v>193</v>
      </c>
      <c r="C115" s="4" t="str">
        <f>IFERROR(VLOOKUP(Tabela1[[#This Row],[Código]],Cadastro!$A:$J,2,0),"Sem Cadastro")</f>
        <v>ALIMENTOS</v>
      </c>
      <c r="D115" s="4" t="str">
        <f>IFERROR(VLOOKUP(Tabela1[[#This Row],[Código]],Cadastro!$A:$J,3,0),"Sem Cadastro")</f>
        <v>BARRAS</v>
      </c>
      <c r="E115" s="4" t="str">
        <f>IFERROR(VLOOKUP(Tabela1[[#This Row],[Código]],Cadastro!$A:$J,4,0),"Sem Cadastro")</f>
        <v>BARRA PROTEÍNA</v>
      </c>
      <c r="F115" s="4" t="str">
        <f>IFERROR(VLOOKUP(Tabela1[[#This Row],[Código]],Cadastro!$A:$J,5,0),"Sem Cadastro")</f>
        <v>DESCONTINUADO</v>
      </c>
      <c r="G115" s="5" t="s">
        <v>194</v>
      </c>
      <c r="H115" s="1">
        <v>244.99999999999997</v>
      </c>
      <c r="I115" s="1">
        <v>238.99999999999997</v>
      </c>
      <c r="J115" s="1">
        <v>79.905741717992157</v>
      </c>
      <c r="K115" s="1">
        <v>111</v>
      </c>
      <c r="L115" s="1">
        <v>204.42803941301088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</row>
    <row r="116" spans="1:48" x14ac:dyDescent="0.3">
      <c r="A116" s="4">
        <v>410030805</v>
      </c>
      <c r="B116" s="4" t="s">
        <v>195</v>
      </c>
      <c r="C116" s="4" t="str">
        <f>IFERROR(VLOOKUP(Tabela1[[#This Row],[Código]],Cadastro!$A:$J,2,0),"Sem Cadastro")</f>
        <v>ALIMENTOS</v>
      </c>
      <c r="D116" s="4" t="str">
        <f>IFERROR(VLOOKUP(Tabela1[[#This Row],[Código]],Cadastro!$A:$J,3,0),"Sem Cadastro")</f>
        <v>BARRAS</v>
      </c>
      <c r="E116" s="4" t="str">
        <f>IFERROR(VLOOKUP(Tabela1[[#This Row],[Código]],Cadastro!$A:$J,4,0),"Sem Cadastro")</f>
        <v>BARRA PROTEÍNA</v>
      </c>
      <c r="F116" s="4" t="str">
        <f>IFERROR(VLOOKUP(Tabela1[[#This Row],[Código]],Cadastro!$A:$J,5,0),"Sem Cadastro")</f>
        <v>DESCONTINUADO</v>
      </c>
      <c r="G116" s="5" t="s">
        <v>194</v>
      </c>
      <c r="H116" s="1">
        <v>237.99999999999994</v>
      </c>
      <c r="I116" s="1">
        <v>293.21666666666675</v>
      </c>
      <c r="J116" s="1">
        <v>185.81860126989912</v>
      </c>
      <c r="K116" s="1">
        <v>237</v>
      </c>
      <c r="L116" s="1">
        <v>7.0201936611610876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</row>
    <row r="117" spans="1:48" x14ac:dyDescent="0.3">
      <c r="A117" s="4">
        <v>410031005</v>
      </c>
      <c r="B117" s="4" t="s">
        <v>196</v>
      </c>
      <c r="C117" s="4" t="str">
        <f>IFERROR(VLOOKUP(Tabela1[[#This Row],[Código]],Cadastro!$A:$J,2,0),"Sem Cadastro")</f>
        <v>ALIMENTOS</v>
      </c>
      <c r="D117" s="4" t="str">
        <f>IFERROR(VLOOKUP(Tabela1[[#This Row],[Código]],Cadastro!$A:$J,3,0),"Sem Cadastro")</f>
        <v>BARRAS</v>
      </c>
      <c r="E117" s="4" t="str">
        <f>IFERROR(VLOOKUP(Tabela1[[#This Row],[Código]],Cadastro!$A:$J,4,0),"Sem Cadastro")</f>
        <v>BARRA PROTEÍNA</v>
      </c>
      <c r="F117" s="4" t="str">
        <f>IFERROR(VLOOKUP(Tabela1[[#This Row],[Código]],Cadastro!$A:$J,5,0),"Sem Cadastro")</f>
        <v>DESCONTINUADO</v>
      </c>
      <c r="G117" s="5" t="s">
        <v>194</v>
      </c>
      <c r="H117" s="1">
        <v>312.00000000000006</v>
      </c>
      <c r="I117" s="1">
        <v>280.60000000000002</v>
      </c>
      <c r="J117" s="1">
        <v>157.18808544420261</v>
      </c>
      <c r="K117" s="1">
        <v>203</v>
      </c>
      <c r="L117" s="1">
        <v>74.213475846560073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</row>
    <row r="118" spans="1:48" x14ac:dyDescent="0.3">
      <c r="A118" s="4">
        <v>410031205</v>
      </c>
      <c r="B118" s="4" t="s">
        <v>197</v>
      </c>
      <c r="C118" s="4" t="str">
        <f>IFERROR(VLOOKUP(Tabela1[[#This Row],[Código]],Cadastro!$A:$J,2,0),"Sem Cadastro")</f>
        <v>ALIMENTOS</v>
      </c>
      <c r="D118" s="4" t="str">
        <f>IFERROR(VLOOKUP(Tabela1[[#This Row],[Código]],Cadastro!$A:$J,3,0),"Sem Cadastro")</f>
        <v>BARRAS</v>
      </c>
      <c r="E118" s="4" t="str">
        <f>IFERROR(VLOOKUP(Tabela1[[#This Row],[Código]],Cadastro!$A:$J,4,0),"Sem Cadastro")</f>
        <v>BARRA PROTEÍNA</v>
      </c>
      <c r="F118" s="4" t="str">
        <f>IFERROR(VLOOKUP(Tabela1[[#This Row],[Código]],Cadastro!$A:$J,5,0),"Sem Cadastro")</f>
        <v>DESCONTINUADO</v>
      </c>
      <c r="G118" s="5" t="s">
        <v>194</v>
      </c>
      <c r="H118" s="1">
        <v>245.00000000000006</v>
      </c>
      <c r="I118" s="1">
        <v>239.00000000000003</v>
      </c>
      <c r="J118" s="1">
        <v>96.165600590762594</v>
      </c>
      <c r="K118" s="1">
        <v>122</v>
      </c>
      <c r="L118" s="1">
        <v>201.47955807532324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</row>
    <row r="119" spans="1:48" x14ac:dyDescent="0.3">
      <c r="A119" s="4">
        <v>410030905</v>
      </c>
      <c r="B119" s="4" t="s">
        <v>198</v>
      </c>
      <c r="C119" s="4" t="str">
        <f>IFERROR(VLOOKUP(Tabela1[[#This Row],[Código]],Cadastro!$A:$J,2,0),"Sem Cadastro")</f>
        <v>ALIMENTOS</v>
      </c>
      <c r="D119" s="4" t="str">
        <f>IFERROR(VLOOKUP(Tabela1[[#This Row],[Código]],Cadastro!$A:$J,3,0),"Sem Cadastro")</f>
        <v>BARRAS</v>
      </c>
      <c r="E119" s="4" t="str">
        <f>IFERROR(VLOOKUP(Tabela1[[#This Row],[Código]],Cadastro!$A:$J,4,0),"Sem Cadastro")</f>
        <v>BARRA PROTEÍNA</v>
      </c>
      <c r="F119" s="4" t="str">
        <f>IFERROR(VLOOKUP(Tabela1[[#This Row],[Código]],Cadastro!$A:$J,5,0),"Sem Cadastro")</f>
        <v>DESCONTINUADO</v>
      </c>
      <c r="G119" s="5" t="s">
        <v>194</v>
      </c>
      <c r="H119" s="1">
        <v>229</v>
      </c>
      <c r="I119" s="1">
        <v>153.13333333333327</v>
      </c>
      <c r="J119" s="1">
        <v>122.88632292523383</v>
      </c>
      <c r="K119" s="1">
        <v>135</v>
      </c>
      <c r="L119" s="1">
        <v>113.02511794469353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</row>
    <row r="120" spans="1:48" x14ac:dyDescent="0.3">
      <c r="A120" s="4">
        <v>410300060</v>
      </c>
      <c r="B120" s="4" t="s">
        <v>199</v>
      </c>
      <c r="C120" s="4" t="str">
        <f>IFERROR(VLOOKUP(Tabela1[[#This Row],[Código]],Cadastro!$A:$J,2,0),"Sem Cadastro")</f>
        <v>ALIMENTOS</v>
      </c>
      <c r="D120" s="4" t="str">
        <f>IFERROR(VLOOKUP(Tabela1[[#This Row],[Código]],Cadastro!$A:$J,3,0),"Sem Cadastro")</f>
        <v>BEBIDAS EM PÓ</v>
      </c>
      <c r="E120" s="4" t="str">
        <f>IFERROR(VLOOKUP(Tabela1[[#This Row],[Código]],Cadastro!$A:$J,4,0),"Sem Cadastro")</f>
        <v>CAPPUCCINO</v>
      </c>
      <c r="F120" s="4" t="str">
        <f>IFERROR(VLOOKUP(Tabela1[[#This Row],[Código]],Cadastro!$A:$J,5,0),"Sem Cadastro")</f>
        <v>DESCONTINUADO</v>
      </c>
      <c r="G120" s="5" t="s">
        <v>129</v>
      </c>
      <c r="H120" s="1">
        <v>731.52045505594117</v>
      </c>
      <c r="I120" s="1">
        <v>1076.9091614308895</v>
      </c>
      <c r="J120" s="1">
        <v>877.70176281724071</v>
      </c>
      <c r="K120" s="1">
        <v>875</v>
      </c>
      <c r="L120" s="1">
        <v>1103.1732896110282</v>
      </c>
      <c r="M120" s="1">
        <v>1244</v>
      </c>
      <c r="N120" s="1">
        <v>927.41666666666663</v>
      </c>
      <c r="O120" s="1">
        <v>1200</v>
      </c>
      <c r="P120" s="1">
        <v>1199.9999999999998</v>
      </c>
      <c r="Q120" s="1">
        <v>537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</row>
    <row r="121" spans="1:48" x14ac:dyDescent="0.3">
      <c r="A121" s="4">
        <v>410090205</v>
      </c>
      <c r="B121" s="4" t="s">
        <v>200</v>
      </c>
      <c r="C121" s="4" t="str">
        <f>IFERROR(VLOOKUP(Tabela1[[#This Row],[Código]],Cadastro!$A:$J,2,0),"Sem Cadastro")</f>
        <v>ALIMENTOS</v>
      </c>
      <c r="D121" s="4" t="str">
        <f>IFERROR(VLOOKUP(Tabela1[[#This Row],[Código]],Cadastro!$A:$J,3,0),"Sem Cadastro")</f>
        <v>BEBIDAS EM PÓ</v>
      </c>
      <c r="E121" s="4" t="str">
        <f>IFERROR(VLOOKUP(Tabela1[[#This Row],[Código]],Cadastro!$A:$J,4,0),"Sem Cadastro")</f>
        <v>ACHOCOLATADO</v>
      </c>
      <c r="F121" s="4" t="str">
        <f>IFERROR(VLOOKUP(Tabela1[[#This Row],[Código]],Cadastro!$A:$J,5,0),"Sem Cadastro")</f>
        <v>DESCONTINUADO</v>
      </c>
      <c r="G121" s="5" t="s">
        <v>80</v>
      </c>
      <c r="H121" s="1">
        <v>74</v>
      </c>
      <c r="I121" s="1">
        <v>10</v>
      </c>
      <c r="J121" s="1">
        <v>57.871933690885939</v>
      </c>
      <c r="K121" s="1">
        <v>0</v>
      </c>
      <c r="L121" s="1">
        <v>20.057696174745967</v>
      </c>
      <c r="M121" s="1">
        <v>0</v>
      </c>
      <c r="N121" s="1">
        <v>116.39999999999999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</row>
    <row r="122" spans="1:48" x14ac:dyDescent="0.3">
      <c r="A122" s="4">
        <v>410090206</v>
      </c>
      <c r="B122" s="4" t="s">
        <v>201</v>
      </c>
      <c r="C122" s="4" t="str">
        <f>IFERROR(VLOOKUP(Tabela1[[#This Row],[Código]],Cadastro!$A:$J,2,0),"Sem Cadastro")</f>
        <v>ALIMENTOS</v>
      </c>
      <c r="D122" s="4" t="str">
        <f>IFERROR(VLOOKUP(Tabela1[[#This Row],[Código]],Cadastro!$A:$J,3,0),"Sem Cadastro")</f>
        <v>BEBIDAS EM PÓ</v>
      </c>
      <c r="E122" s="4" t="str">
        <f>IFERROR(VLOOKUP(Tabela1[[#This Row],[Código]],Cadastro!$A:$J,4,0),"Sem Cadastro")</f>
        <v>ACHOCOLATADO</v>
      </c>
      <c r="F122" s="4" t="str">
        <f>IFERROR(VLOOKUP(Tabela1[[#This Row],[Código]],Cadastro!$A:$J,5,0),"Sem Cadastro")</f>
        <v>DESCONTINUADO</v>
      </c>
      <c r="G122" s="5" t="s">
        <v>80</v>
      </c>
      <c r="H122" s="1">
        <v>138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</row>
    <row r="123" spans="1:48" x14ac:dyDescent="0.3">
      <c r="A123" s="4">
        <v>410100201</v>
      </c>
      <c r="B123" s="4" t="s">
        <v>202</v>
      </c>
      <c r="C123" s="4" t="str">
        <f>IFERROR(VLOOKUP(Tabela1[[#This Row],[Código]],Cadastro!$A:$J,2,0),"Sem Cadastro")</f>
        <v>ALIMENTOS</v>
      </c>
      <c r="D123" s="4" t="str">
        <f>IFERROR(VLOOKUP(Tabela1[[#This Row],[Código]],Cadastro!$A:$J,3,0),"Sem Cadastro")</f>
        <v>BISCOITOS</v>
      </c>
      <c r="E123" s="4" t="str">
        <f>IFERROR(VLOOKUP(Tabela1[[#This Row],[Código]],Cadastro!$A:$J,4,0),"Sem Cadastro")</f>
        <v>BISCOITOS DOCES</v>
      </c>
      <c r="F123" s="4" t="str">
        <f>IFERROR(VLOOKUP(Tabela1[[#This Row],[Código]],Cadastro!$A:$J,5,0),"Sem Cadastro")</f>
        <v>DESCONTINUADO</v>
      </c>
      <c r="G123" s="5" t="s">
        <v>125</v>
      </c>
      <c r="H123" s="1">
        <v>733.00000000000011</v>
      </c>
      <c r="I123" s="1">
        <v>1179.4738180692173</v>
      </c>
      <c r="J123" s="1">
        <v>880.75543418043128</v>
      </c>
      <c r="K123" s="1">
        <v>1094</v>
      </c>
      <c r="L123" s="1">
        <v>930.73727559673705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</row>
    <row r="124" spans="1:48" x14ac:dyDescent="0.3">
      <c r="A124" s="4">
        <v>410100101</v>
      </c>
      <c r="B124" s="4" t="s">
        <v>203</v>
      </c>
      <c r="C124" s="4" t="str">
        <f>IFERROR(VLOOKUP(Tabela1[[#This Row],[Código]],Cadastro!$A:$J,2,0),"Sem Cadastro")</f>
        <v>ALIMENTOS</v>
      </c>
      <c r="D124" s="4" t="str">
        <f>IFERROR(VLOOKUP(Tabela1[[#This Row],[Código]],Cadastro!$A:$J,3,0),"Sem Cadastro")</f>
        <v>BISCOITOS</v>
      </c>
      <c r="E124" s="4" t="str">
        <f>IFERROR(VLOOKUP(Tabela1[[#This Row],[Código]],Cadastro!$A:$J,4,0),"Sem Cadastro")</f>
        <v>BISCOITOS DOCES</v>
      </c>
      <c r="F124" s="4" t="str">
        <f>IFERROR(VLOOKUP(Tabela1[[#This Row],[Código]],Cadastro!$A:$J,5,0),"Sem Cadastro")</f>
        <v>DESCONTINUADO</v>
      </c>
      <c r="G124" s="5" t="s">
        <v>125</v>
      </c>
      <c r="H124" s="1">
        <v>733.00000000000011</v>
      </c>
      <c r="I124" s="1">
        <v>1380.2870553304576</v>
      </c>
      <c r="J124" s="1">
        <v>1023.7263874616531</v>
      </c>
      <c r="K124" s="1">
        <v>1282</v>
      </c>
      <c r="L124" s="1">
        <v>1079.1441695936826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</row>
    <row r="125" spans="1:48" x14ac:dyDescent="0.3">
      <c r="A125" s="4">
        <v>410100301</v>
      </c>
      <c r="B125" s="4" t="s">
        <v>204</v>
      </c>
      <c r="C125" s="4" t="str">
        <f>IFERROR(VLOOKUP(Tabela1[[#This Row],[Código]],Cadastro!$A:$J,2,0),"Sem Cadastro")</f>
        <v>ALIMENTOS</v>
      </c>
      <c r="D125" s="4" t="str">
        <f>IFERROR(VLOOKUP(Tabela1[[#This Row],[Código]],Cadastro!$A:$J,3,0),"Sem Cadastro")</f>
        <v>BISCOITOS</v>
      </c>
      <c r="E125" s="4" t="str">
        <f>IFERROR(VLOOKUP(Tabela1[[#This Row],[Código]],Cadastro!$A:$J,4,0),"Sem Cadastro")</f>
        <v>BISCOITOS DOCES</v>
      </c>
      <c r="F125" s="4" t="str">
        <f>IFERROR(VLOOKUP(Tabela1[[#This Row],[Código]],Cadastro!$A:$J,5,0),"Sem Cadastro")</f>
        <v>DESCONTINUADO</v>
      </c>
      <c r="G125" s="5" t="s">
        <v>125</v>
      </c>
      <c r="H125" s="1">
        <v>458</v>
      </c>
      <c r="I125" s="1">
        <v>841.85833333333358</v>
      </c>
      <c r="J125" s="1">
        <v>588.49192389776488</v>
      </c>
      <c r="K125" s="1">
        <v>937</v>
      </c>
      <c r="L125" s="1">
        <v>785.27886293747929</v>
      </c>
      <c r="M125" s="1">
        <v>223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</row>
    <row r="126" spans="1:48" x14ac:dyDescent="0.3">
      <c r="A126" s="4">
        <v>410121202</v>
      </c>
      <c r="B126" s="4" t="s">
        <v>205</v>
      </c>
      <c r="C126" s="4" t="str">
        <f>IFERROR(VLOOKUP(Tabela1[[#This Row],[Código]],Cadastro!$A:$J,2,0),"Sem Cadastro")</f>
        <v>ALIMENTOS</v>
      </c>
      <c r="D126" s="4" t="str">
        <f>IFERROR(VLOOKUP(Tabela1[[#This Row],[Código]],Cadastro!$A:$J,3,0),"Sem Cadastro")</f>
        <v>BISCOITOS</v>
      </c>
      <c r="E126" s="4" t="str">
        <f>IFERROR(VLOOKUP(Tabela1[[#This Row],[Código]],Cadastro!$A:$J,4,0),"Sem Cadastro")</f>
        <v>WAFER</v>
      </c>
      <c r="F126" s="4" t="str">
        <f>IFERROR(VLOOKUP(Tabela1[[#This Row],[Código]],Cadastro!$A:$J,5,0),"Sem Cadastro")</f>
        <v>DESCONTINUADO</v>
      </c>
      <c r="G126" s="5" t="s">
        <v>85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</row>
    <row r="127" spans="1:48" x14ac:dyDescent="0.3">
      <c r="A127" s="4">
        <v>410121302</v>
      </c>
      <c r="B127" s="4" t="s">
        <v>206</v>
      </c>
      <c r="C127" s="4" t="str">
        <f>IFERROR(VLOOKUP(Tabela1[[#This Row],[Código]],Cadastro!$A:$J,2,0),"Sem Cadastro")</f>
        <v>ALIMENTOS</v>
      </c>
      <c r="D127" s="4" t="str">
        <f>IFERROR(VLOOKUP(Tabela1[[#This Row],[Código]],Cadastro!$A:$J,3,0),"Sem Cadastro")</f>
        <v>BISCOITOS</v>
      </c>
      <c r="E127" s="4" t="str">
        <f>IFERROR(VLOOKUP(Tabela1[[#This Row],[Código]],Cadastro!$A:$J,4,0),"Sem Cadastro")</f>
        <v>WAFER</v>
      </c>
      <c r="F127" s="4" t="str">
        <f>IFERROR(VLOOKUP(Tabela1[[#This Row],[Código]],Cadastro!$A:$J,5,0),"Sem Cadastro")</f>
        <v>DESCONTINUADO</v>
      </c>
      <c r="G127" s="5" t="s">
        <v>85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</row>
    <row r="128" spans="1:48" x14ac:dyDescent="0.3">
      <c r="A128" s="4">
        <v>410121102</v>
      </c>
      <c r="B128" s="4" t="s">
        <v>207</v>
      </c>
      <c r="C128" s="4" t="str">
        <f>IFERROR(VLOOKUP(Tabela1[[#This Row],[Código]],Cadastro!$A:$J,2,0),"Sem Cadastro")</f>
        <v>ALIMENTOS</v>
      </c>
      <c r="D128" s="4" t="str">
        <f>IFERROR(VLOOKUP(Tabela1[[#This Row],[Código]],Cadastro!$A:$J,3,0),"Sem Cadastro")</f>
        <v>BISCOITOS</v>
      </c>
      <c r="E128" s="4" t="str">
        <f>IFERROR(VLOOKUP(Tabela1[[#This Row],[Código]],Cadastro!$A:$J,4,0),"Sem Cadastro")</f>
        <v>WAFER</v>
      </c>
      <c r="F128" s="4" t="str">
        <f>IFERROR(VLOOKUP(Tabela1[[#This Row],[Código]],Cadastro!$A:$J,5,0),"Sem Cadastro")</f>
        <v>DESCONTINUADO</v>
      </c>
      <c r="G128" s="5" t="s">
        <v>85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</row>
    <row r="129" spans="1:48" x14ac:dyDescent="0.3">
      <c r="A129" s="4">
        <v>410141604</v>
      </c>
      <c r="B129" s="4" t="s">
        <v>208</v>
      </c>
      <c r="C129" s="4" t="str">
        <f>IFERROR(VLOOKUP(Tabela1[[#This Row],[Código]],Cadastro!$A:$J,2,0),"Sem Cadastro")</f>
        <v>SUPLEMENTOS</v>
      </c>
      <c r="D129" s="4" t="str">
        <f>IFERROR(VLOOKUP(Tabela1[[#This Row],[Código]],Cadastro!$A:$J,3,0),"Sem Cadastro")</f>
        <v>CHÁ FUNCIONAL</v>
      </c>
      <c r="E129" s="4" t="str">
        <f>IFERROR(VLOOKUP(Tabela1[[#This Row],[Código]],Cadastro!$A:$J,4,0),"Sem Cadastro")</f>
        <v>CHÁ FUNCIONAL SOLÚVEL</v>
      </c>
      <c r="F129" s="4" t="str">
        <f>IFERROR(VLOOKUP(Tabela1[[#This Row],[Código]],Cadastro!$A:$J,5,0),"Sem Cadastro")</f>
        <v>DESCONTINUADO</v>
      </c>
      <c r="G129" s="5" t="s">
        <v>209</v>
      </c>
      <c r="H129" s="1">
        <v>48.999999999999986</v>
      </c>
      <c r="I129" s="1">
        <v>0</v>
      </c>
      <c r="J129" s="1">
        <v>0</v>
      </c>
      <c r="K129" s="1">
        <v>0</v>
      </c>
      <c r="L129" s="1">
        <v>76.219245464034685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</row>
    <row r="130" spans="1:48" x14ac:dyDescent="0.3">
      <c r="A130" s="4">
        <v>410141504</v>
      </c>
      <c r="B130" s="4" t="s">
        <v>210</v>
      </c>
      <c r="C130" s="4" t="str">
        <f>IFERROR(VLOOKUP(Tabela1[[#This Row],[Código]],Cadastro!$A:$J,2,0),"Sem Cadastro")</f>
        <v>SUPLEMENTOS</v>
      </c>
      <c r="D130" s="4" t="str">
        <f>IFERROR(VLOOKUP(Tabela1[[#This Row],[Código]],Cadastro!$A:$J,3,0),"Sem Cadastro")</f>
        <v>CHÁ FUNCIONAL</v>
      </c>
      <c r="E130" s="4" t="str">
        <f>IFERROR(VLOOKUP(Tabela1[[#This Row],[Código]],Cadastro!$A:$J,4,0),"Sem Cadastro")</f>
        <v>CHÁ FUNCIONAL SOLÚVEL</v>
      </c>
      <c r="F130" s="4" t="str">
        <f>IFERROR(VLOOKUP(Tabela1[[#This Row],[Código]],Cadastro!$A:$J,5,0),"Sem Cadastro")</f>
        <v>DESCONTINUADO</v>
      </c>
      <c r="G130" s="5" t="s">
        <v>209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</row>
    <row r="131" spans="1:48" x14ac:dyDescent="0.3">
      <c r="A131" s="4">
        <v>410140425</v>
      </c>
      <c r="B131" s="4" t="s">
        <v>211</v>
      </c>
      <c r="C131" s="4" t="str">
        <f>IFERROR(VLOOKUP(Tabela1[[#This Row],[Código]],Cadastro!$A:$J,2,0),"Sem Cadastro")</f>
        <v>SUPLEMENTOS</v>
      </c>
      <c r="D131" s="4" t="str">
        <f>IFERROR(VLOOKUP(Tabela1[[#This Row],[Código]],Cadastro!$A:$J,3,0),"Sem Cadastro")</f>
        <v>CHOCOLATE PROTEICO</v>
      </c>
      <c r="E131" s="4" t="str">
        <f>IFERROR(VLOOKUP(Tabela1[[#This Row],[Código]],Cadastro!$A:$J,4,0),"Sem Cadastro")</f>
        <v>CHOCOBALL PROTEICO</v>
      </c>
      <c r="F131" s="4" t="str">
        <f>IFERROR(VLOOKUP(Tabela1[[#This Row],[Código]],Cadastro!$A:$J,5,0),"Sem Cadastro")</f>
        <v>DESCONTINUADO</v>
      </c>
      <c r="G131" s="5" t="s">
        <v>212</v>
      </c>
      <c r="H131" s="1">
        <v>196</v>
      </c>
      <c r="I131" s="1">
        <v>382.00000000000006</v>
      </c>
      <c r="J131" s="1">
        <v>115.38292222536863</v>
      </c>
      <c r="K131" s="1">
        <v>136</v>
      </c>
      <c r="L131" s="1">
        <v>150.43272131059476</v>
      </c>
      <c r="M131" s="1">
        <v>200</v>
      </c>
      <c r="N131" s="1">
        <v>258.33333333333331</v>
      </c>
      <c r="O131" s="1">
        <v>280</v>
      </c>
      <c r="P131" s="1">
        <v>280</v>
      </c>
      <c r="Q131" s="1">
        <v>257.28736021009973</v>
      </c>
      <c r="R131" s="1">
        <v>243.04753660863116</v>
      </c>
      <c r="S131" s="1">
        <v>225</v>
      </c>
      <c r="T131" s="1">
        <v>0</v>
      </c>
      <c r="U131" s="1">
        <v>120</v>
      </c>
      <c r="V131" s="1">
        <v>120</v>
      </c>
      <c r="W131" s="1">
        <v>120</v>
      </c>
      <c r="X131" s="1">
        <v>120</v>
      </c>
      <c r="Y131" s="1">
        <v>120</v>
      </c>
      <c r="Z131" s="1">
        <v>80</v>
      </c>
      <c r="AA131" s="1">
        <v>80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</row>
    <row r="132" spans="1:48" x14ac:dyDescent="0.3">
      <c r="A132" s="4">
        <v>410140525</v>
      </c>
      <c r="B132" s="4" t="s">
        <v>213</v>
      </c>
      <c r="C132" s="4" t="str">
        <f>IFERROR(VLOOKUP(Tabela1[[#This Row],[Código]],Cadastro!$A:$J,2,0),"Sem Cadastro")</f>
        <v>SUPLEMENTOS</v>
      </c>
      <c r="D132" s="4" t="str">
        <f>IFERROR(VLOOKUP(Tabela1[[#This Row],[Código]],Cadastro!$A:$J,3,0),"Sem Cadastro")</f>
        <v>CHOCOLATE PROTEICO</v>
      </c>
      <c r="E132" s="4" t="str">
        <f>IFERROR(VLOOKUP(Tabela1[[#This Row],[Código]],Cadastro!$A:$J,4,0),"Sem Cadastro")</f>
        <v>CHOCOBALL PROTEICO</v>
      </c>
      <c r="F132" s="4" t="str">
        <f>IFERROR(VLOOKUP(Tabela1[[#This Row],[Código]],Cadastro!$A:$J,5,0),"Sem Cadastro")</f>
        <v>DESCONTINUADO</v>
      </c>
      <c r="G132" s="5" t="s">
        <v>212</v>
      </c>
      <c r="H132" s="1">
        <v>196.00000000000003</v>
      </c>
      <c r="I132" s="1">
        <v>382</v>
      </c>
      <c r="J132" s="1">
        <v>108.17010352060649</v>
      </c>
      <c r="K132" s="1">
        <v>129</v>
      </c>
      <c r="L132" s="1">
        <v>150.43272131059473</v>
      </c>
      <c r="M132" s="1">
        <v>200</v>
      </c>
      <c r="N132" s="1">
        <v>242.66666666666666</v>
      </c>
      <c r="O132" s="1">
        <v>250</v>
      </c>
      <c r="P132" s="1">
        <v>250</v>
      </c>
      <c r="Q132" s="1">
        <v>229.72085733044619</v>
      </c>
      <c r="R132" s="1">
        <v>217.00672911484926</v>
      </c>
      <c r="S132" s="1">
        <v>181</v>
      </c>
      <c r="T132" s="1">
        <v>0</v>
      </c>
      <c r="U132" s="1">
        <v>100</v>
      </c>
      <c r="V132" s="1">
        <v>100</v>
      </c>
      <c r="W132" s="1">
        <v>100</v>
      </c>
      <c r="X132" s="1">
        <v>100</v>
      </c>
      <c r="Y132" s="1">
        <v>100</v>
      </c>
      <c r="Z132" s="1">
        <v>21</v>
      </c>
      <c r="AA132" s="1">
        <v>21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</row>
    <row r="133" spans="1:48" x14ac:dyDescent="0.3">
      <c r="A133" s="4">
        <v>410310298</v>
      </c>
      <c r="B133" s="4" t="s">
        <v>214</v>
      </c>
      <c r="C133" s="4" t="str">
        <f>IFERROR(VLOOKUP(Tabela1[[#This Row],[Código]],Cadastro!$A:$J,2,0),"Sem Cadastro")</f>
        <v>ALIMENTOS</v>
      </c>
      <c r="D133" s="4" t="str">
        <f>IFERROR(VLOOKUP(Tabela1[[#This Row],[Código]],Cadastro!$A:$J,3,0),"Sem Cadastro")</f>
        <v>CHOCOLATES</v>
      </c>
      <c r="E133" s="4" t="str">
        <f>IFERROR(VLOOKUP(Tabela1[[#This Row],[Código]],Cadastro!$A:$J,4,0),"Sem Cadastro")</f>
        <v>BOMBOM</v>
      </c>
      <c r="F133" s="4" t="str">
        <f>IFERROR(VLOOKUP(Tabela1[[#This Row],[Código]],Cadastro!$A:$J,5,0),"Sem Cadastro")</f>
        <v>DESCONTINUADO</v>
      </c>
      <c r="G133" s="5" t="s">
        <v>215</v>
      </c>
      <c r="H133" s="1">
        <v>92</v>
      </c>
      <c r="I133" s="1">
        <v>175</v>
      </c>
      <c r="J133" s="1">
        <v>71.081521498415427</v>
      </c>
      <c r="K133" s="1">
        <v>60</v>
      </c>
      <c r="L133" s="1">
        <v>81.23366950772116</v>
      </c>
      <c r="M133" s="1">
        <v>75</v>
      </c>
      <c r="N133" s="1">
        <v>50</v>
      </c>
      <c r="O133" s="1">
        <v>25</v>
      </c>
      <c r="P133" s="1">
        <v>50</v>
      </c>
      <c r="Q133" s="1">
        <v>45.944171466089237</v>
      </c>
      <c r="R133" s="1">
        <v>43.401345822969851</v>
      </c>
      <c r="S133" s="1">
        <v>68</v>
      </c>
      <c r="T133" s="1">
        <v>75</v>
      </c>
      <c r="U133" s="1">
        <v>75</v>
      </c>
      <c r="V133" s="1">
        <v>75</v>
      </c>
      <c r="W133" s="1">
        <v>75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</row>
    <row r="134" spans="1:48" x14ac:dyDescent="0.3">
      <c r="A134" s="4">
        <v>410310398</v>
      </c>
      <c r="B134" s="4" t="s">
        <v>216</v>
      </c>
      <c r="C134" s="4" t="str">
        <f>IFERROR(VLOOKUP(Tabela1[[#This Row],[Código]],Cadastro!$A:$J,2,0),"Sem Cadastro")</f>
        <v>ALIMENTOS</v>
      </c>
      <c r="D134" s="4" t="str">
        <f>IFERROR(VLOOKUP(Tabela1[[#This Row],[Código]],Cadastro!$A:$J,3,0),"Sem Cadastro")</f>
        <v>CHOCOLATES</v>
      </c>
      <c r="E134" s="4" t="str">
        <f>IFERROR(VLOOKUP(Tabela1[[#This Row],[Código]],Cadastro!$A:$J,4,0),"Sem Cadastro")</f>
        <v>BOMBOM</v>
      </c>
      <c r="F134" s="4" t="str">
        <f>IFERROR(VLOOKUP(Tabela1[[#This Row],[Código]],Cadastro!$A:$J,5,0),"Sem Cadastro")</f>
        <v>DESCONTINUADO</v>
      </c>
      <c r="G134" s="5" t="s">
        <v>215</v>
      </c>
      <c r="H134" s="1">
        <v>91.999999999999986</v>
      </c>
      <c r="I134" s="1">
        <v>175</v>
      </c>
      <c r="J134" s="1">
        <v>77.304474462226423</v>
      </c>
      <c r="K134" s="1">
        <v>60</v>
      </c>
      <c r="L134" s="1">
        <v>51.147125245602219</v>
      </c>
      <c r="M134" s="1">
        <v>75</v>
      </c>
      <c r="N134" s="1">
        <v>50</v>
      </c>
      <c r="O134" s="1">
        <v>25</v>
      </c>
      <c r="P134" s="1">
        <v>50</v>
      </c>
      <c r="Q134" s="1">
        <v>45.944171466089237</v>
      </c>
      <c r="R134" s="1">
        <v>43.401345822969851</v>
      </c>
      <c r="S134" s="1">
        <v>68</v>
      </c>
      <c r="T134" s="1">
        <v>75</v>
      </c>
      <c r="U134" s="1">
        <v>75</v>
      </c>
      <c r="V134" s="1">
        <v>0</v>
      </c>
      <c r="W134" s="1">
        <v>75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</row>
    <row r="135" spans="1:48" x14ac:dyDescent="0.3">
      <c r="A135" s="4">
        <v>410310097</v>
      </c>
      <c r="B135" s="4" t="s">
        <v>217</v>
      </c>
      <c r="C135" s="4" t="str">
        <f>IFERROR(VLOOKUP(Tabela1[[#This Row],[Código]],Cadastro!$A:$J,2,0),"Sem Cadastro")</f>
        <v>ALIMENTOS</v>
      </c>
      <c r="D135" s="4" t="str">
        <f>IFERROR(VLOOKUP(Tabela1[[#This Row],[Código]],Cadastro!$A:$J,3,0),"Sem Cadastro")</f>
        <v>CHOCOLATES</v>
      </c>
      <c r="E135" s="4" t="str">
        <f>IFERROR(VLOOKUP(Tabela1[[#This Row],[Código]],Cadastro!$A:$J,4,0),"Sem Cadastro")</f>
        <v>BOMBOM</v>
      </c>
      <c r="F135" s="4" t="str">
        <f>IFERROR(VLOOKUP(Tabela1[[#This Row],[Código]],Cadastro!$A:$J,5,0),"Sem Cadastro")</f>
        <v>DESCONTINUADO</v>
      </c>
      <c r="G135" s="5" t="s">
        <v>215</v>
      </c>
      <c r="H135" s="1">
        <v>92</v>
      </c>
      <c r="I135" s="1">
        <v>300</v>
      </c>
      <c r="J135" s="1">
        <v>222.51064869493263</v>
      </c>
      <c r="K135" s="1">
        <v>49</v>
      </c>
      <c r="L135" s="1">
        <v>299.86255781245222</v>
      </c>
      <c r="M135" s="1">
        <v>75</v>
      </c>
      <c r="N135" s="1">
        <v>50</v>
      </c>
      <c r="O135" s="1">
        <v>25</v>
      </c>
      <c r="P135" s="1">
        <v>49.999999999999993</v>
      </c>
      <c r="Q135" s="1">
        <v>45.944171466089237</v>
      </c>
      <c r="R135" s="1">
        <v>43.401345822969851</v>
      </c>
      <c r="S135" s="1">
        <v>69</v>
      </c>
      <c r="T135" s="1">
        <v>75.000000000000014</v>
      </c>
      <c r="U135" s="1">
        <v>75</v>
      </c>
      <c r="V135" s="1">
        <v>100</v>
      </c>
      <c r="W135" s="1">
        <v>150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</row>
    <row r="136" spans="1:48" x14ac:dyDescent="0.3">
      <c r="A136" s="4">
        <v>410310197</v>
      </c>
      <c r="B136" s="4" t="s">
        <v>218</v>
      </c>
      <c r="C136" s="4" t="str">
        <f>IFERROR(VLOOKUP(Tabela1[[#This Row],[Código]],Cadastro!$A:$J,2,0),"Sem Cadastro")</f>
        <v>ALIMENTOS</v>
      </c>
      <c r="D136" s="4" t="str">
        <f>IFERROR(VLOOKUP(Tabela1[[#This Row],[Código]],Cadastro!$A:$J,3,0),"Sem Cadastro")</f>
        <v>CHOCOLATES</v>
      </c>
      <c r="E136" s="4" t="str">
        <f>IFERROR(VLOOKUP(Tabela1[[#This Row],[Código]],Cadastro!$A:$J,4,0),"Sem Cadastro")</f>
        <v>BOMBOM</v>
      </c>
      <c r="F136" s="4" t="str">
        <f>IFERROR(VLOOKUP(Tabela1[[#This Row],[Código]],Cadastro!$A:$J,5,0),"Sem Cadastro")</f>
        <v>DESCONTINUADO</v>
      </c>
      <c r="G136" s="5" t="s">
        <v>215</v>
      </c>
      <c r="H136" s="1">
        <v>92</v>
      </c>
      <c r="I136" s="1">
        <v>150</v>
      </c>
      <c r="J136" s="1">
        <v>47.865382042538307</v>
      </c>
      <c r="K136" s="1">
        <v>49</v>
      </c>
      <c r="L136" s="1">
        <v>25.07212021843246</v>
      </c>
      <c r="M136" s="1">
        <v>75</v>
      </c>
      <c r="N136" s="1">
        <v>50</v>
      </c>
      <c r="O136" s="1">
        <v>25</v>
      </c>
      <c r="P136" s="1">
        <v>49.999999999999993</v>
      </c>
      <c r="Q136" s="1">
        <v>45.944171466089237</v>
      </c>
      <c r="R136" s="1">
        <v>43.401345822969851</v>
      </c>
      <c r="S136" s="1">
        <v>69</v>
      </c>
      <c r="T136" s="1">
        <v>75</v>
      </c>
      <c r="U136" s="1">
        <v>74.999999999999986</v>
      </c>
      <c r="V136" s="1">
        <v>0</v>
      </c>
      <c r="W136" s="1">
        <v>75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</row>
    <row r="137" spans="1:48" x14ac:dyDescent="0.3">
      <c r="A137" s="4">
        <v>410310430</v>
      </c>
      <c r="B137" s="4" t="s">
        <v>219</v>
      </c>
      <c r="C137" s="4" t="str">
        <f>IFERROR(VLOOKUP(Tabela1[[#This Row],[Código]],Cadastro!$A:$J,2,0),"Sem Cadastro")</f>
        <v>ALIMENTOS</v>
      </c>
      <c r="D137" s="4" t="str">
        <f>IFERROR(VLOOKUP(Tabela1[[#This Row],[Código]],Cadastro!$A:$J,3,0),"Sem Cadastro")</f>
        <v>CHOCOLATES</v>
      </c>
      <c r="E137" s="4" t="str">
        <f>IFERROR(VLOOKUP(Tabela1[[#This Row],[Código]],Cadastro!$A:$J,4,0),"Sem Cadastro")</f>
        <v>IMPULSO</v>
      </c>
      <c r="F137" s="4" t="str">
        <f>IFERROR(VLOOKUP(Tabela1[[#This Row],[Código]],Cadastro!$A:$J,5,0),"Sem Cadastro")</f>
        <v>DESCONTINUADO</v>
      </c>
      <c r="G137" s="5" t="s">
        <v>100</v>
      </c>
      <c r="H137" s="1">
        <v>275</v>
      </c>
      <c r="I137" s="1">
        <v>0</v>
      </c>
      <c r="J137" s="1">
        <v>220.2029512835166</v>
      </c>
      <c r="K137" s="1">
        <v>0</v>
      </c>
      <c r="L137" s="1">
        <v>0</v>
      </c>
      <c r="M137" s="1">
        <v>300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</row>
    <row r="138" spans="1:48" x14ac:dyDescent="0.3">
      <c r="A138" s="4">
        <v>410130404</v>
      </c>
      <c r="B138" s="4" t="s">
        <v>220</v>
      </c>
      <c r="C138" s="4" t="str">
        <f>IFERROR(VLOOKUP(Tabela1[[#This Row],[Código]],Cadastro!$A:$J,2,0),"Sem Cadastro")</f>
        <v>ALIMENTOS</v>
      </c>
      <c r="D138" s="4" t="str">
        <f>IFERROR(VLOOKUP(Tabela1[[#This Row],[Código]],Cadastro!$A:$J,3,0),"Sem Cadastro")</f>
        <v>CHOCOLATES</v>
      </c>
      <c r="E138" s="4" t="str">
        <f>IFERROR(VLOOKUP(Tabela1[[#This Row],[Código]],Cadastro!$A:$J,4,0),"Sem Cadastro")</f>
        <v>MINI WAFER</v>
      </c>
      <c r="F138" s="4" t="str">
        <f>IFERROR(VLOOKUP(Tabela1[[#This Row],[Código]],Cadastro!$A:$J,5,0),"Sem Cadastro")</f>
        <v>DESCONTINUADO</v>
      </c>
      <c r="G138" s="5" t="s">
        <v>221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</row>
    <row r="139" spans="1:48" x14ac:dyDescent="0.3">
      <c r="A139" s="4">
        <v>410130504</v>
      </c>
      <c r="B139" s="4" t="s">
        <v>222</v>
      </c>
      <c r="C139" s="4" t="str">
        <f>IFERROR(VLOOKUP(Tabela1[[#This Row],[Código]],Cadastro!$A:$J,2,0),"Sem Cadastro")</f>
        <v>ALIMENTOS</v>
      </c>
      <c r="D139" s="4" t="str">
        <f>IFERROR(VLOOKUP(Tabela1[[#This Row],[Código]],Cadastro!$A:$J,3,0),"Sem Cadastro")</f>
        <v>CHOCOLATES</v>
      </c>
      <c r="E139" s="4" t="str">
        <f>IFERROR(VLOOKUP(Tabela1[[#This Row],[Código]],Cadastro!$A:$J,4,0),"Sem Cadastro")</f>
        <v>MINI WAFER</v>
      </c>
      <c r="F139" s="4" t="str">
        <f>IFERROR(VLOOKUP(Tabela1[[#This Row],[Código]],Cadastro!$A:$J,5,0),"Sem Cadastro")</f>
        <v>DESCONTINUADO</v>
      </c>
      <c r="G139" s="5" t="s">
        <v>221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</row>
    <row r="140" spans="1:48" x14ac:dyDescent="0.3">
      <c r="A140" s="4">
        <v>410080395</v>
      </c>
      <c r="B140" s="4" t="s">
        <v>223</v>
      </c>
      <c r="C140" s="4" t="str">
        <f>IFERROR(VLOOKUP(Tabela1[[#This Row],[Código]],Cadastro!$A:$J,2,0),"Sem Cadastro")</f>
        <v>ADOÇANTES</v>
      </c>
      <c r="D140" s="4" t="str">
        <f>IFERROR(VLOOKUP(Tabela1[[#This Row],[Código]],Cadastro!$A:$J,3,0),"Sem Cadastro")</f>
        <v>ERITRITOL</v>
      </c>
      <c r="E140" s="4" t="str">
        <f>IFERROR(VLOOKUP(Tabela1[[#This Row],[Código]],Cadastro!$A:$J,4,0),"Sem Cadastro")</f>
        <v>ERITRITOL PÓ</v>
      </c>
      <c r="F140" s="4" t="str">
        <f>IFERROR(VLOOKUP(Tabela1[[#This Row],[Código]],Cadastro!$A:$J,5,0),"Sem Cadastro")</f>
        <v>DESCONTINUADO</v>
      </c>
      <c r="G140" s="5" t="s">
        <v>224</v>
      </c>
      <c r="H140" s="1">
        <v>0</v>
      </c>
      <c r="I140" s="1">
        <v>0</v>
      </c>
      <c r="J140" s="1">
        <v>0</v>
      </c>
      <c r="K140" s="1">
        <v>120</v>
      </c>
      <c r="L140" s="1">
        <v>462.32989682789457</v>
      </c>
      <c r="M140" s="1">
        <v>500</v>
      </c>
      <c r="N140" s="1">
        <v>500</v>
      </c>
      <c r="O140" s="1">
        <v>500</v>
      </c>
      <c r="P140" s="1">
        <v>600</v>
      </c>
      <c r="Q140" s="1">
        <v>551.33005759307093</v>
      </c>
      <c r="R140" s="1">
        <v>694.42153316751762</v>
      </c>
      <c r="S140" s="1">
        <v>402</v>
      </c>
      <c r="T140" s="1">
        <v>300</v>
      </c>
      <c r="U140" s="1">
        <v>400</v>
      </c>
      <c r="V140" s="1">
        <v>500</v>
      </c>
      <c r="W140" s="1">
        <v>500</v>
      </c>
      <c r="X140" s="1">
        <v>450</v>
      </c>
      <c r="Y140" s="1">
        <v>370</v>
      </c>
      <c r="Z140" s="1">
        <v>480</v>
      </c>
      <c r="AA140" s="1">
        <v>480</v>
      </c>
      <c r="AB140" s="1">
        <v>255</v>
      </c>
      <c r="AC140" s="1">
        <v>275</v>
      </c>
      <c r="AD140" s="1">
        <v>279</v>
      </c>
      <c r="AE140" s="1">
        <v>220</v>
      </c>
      <c r="AF140" s="1">
        <v>215</v>
      </c>
      <c r="AG140" s="1">
        <v>281.24951000000027</v>
      </c>
      <c r="AH140" s="1">
        <v>273.20166000000023</v>
      </c>
      <c r="AI140" s="1">
        <v>219.99999999999966</v>
      </c>
      <c r="AJ140" s="1">
        <v>265.47874265216052</v>
      </c>
      <c r="AK140" s="1">
        <v>220.19869237013225</v>
      </c>
      <c r="AL140" s="1">
        <v>239.93137626641342</v>
      </c>
      <c r="AM140" s="1">
        <v>246.98560009896082</v>
      </c>
      <c r="AN140" s="1">
        <v>248.35202798200638</v>
      </c>
      <c r="AO140" s="1">
        <v>238.91350315430938</v>
      </c>
      <c r="AP140" s="1">
        <v>351.83455353831664</v>
      </c>
      <c r="AQ140" s="1">
        <v>306.06897278976049</v>
      </c>
      <c r="AR140" s="1">
        <v>398</v>
      </c>
      <c r="AS140" s="1">
        <v>448</v>
      </c>
      <c r="AT140" s="1">
        <v>514</v>
      </c>
      <c r="AU140" s="1">
        <v>0</v>
      </c>
      <c r="AV140" s="1">
        <v>0</v>
      </c>
    </row>
    <row r="141" spans="1:48" x14ac:dyDescent="0.3">
      <c r="A141" s="4">
        <v>410022008</v>
      </c>
      <c r="B141" s="4" t="s">
        <v>225</v>
      </c>
      <c r="C141" s="4" t="str">
        <f>IFERROR(VLOOKUP(Tabela1[[#This Row],[Código]],Cadastro!$A:$J,2,0),"Sem Cadastro")</f>
        <v>ADOÇANTES</v>
      </c>
      <c r="D141" s="4" t="str">
        <f>IFERROR(VLOOKUP(Tabela1[[#This Row],[Código]],Cadastro!$A:$J,3,0),"Sem Cadastro")</f>
        <v>ERITRITOL</v>
      </c>
      <c r="E141" s="4" t="str">
        <f>IFERROR(VLOOKUP(Tabela1[[#This Row],[Código]],Cadastro!$A:$J,4,0),"Sem Cadastro")</f>
        <v>ERITRITOL PÓ</v>
      </c>
      <c r="F141" s="4" t="str">
        <f>IFERROR(VLOOKUP(Tabela1[[#This Row],[Código]],Cadastro!$A:$J,5,0),"Sem Cadastro")</f>
        <v>DESCONTINUADO</v>
      </c>
      <c r="G141" s="5" t="s">
        <v>224</v>
      </c>
      <c r="H141" s="1">
        <v>183.00000000000006</v>
      </c>
      <c r="I141" s="1">
        <v>238.46797500722326</v>
      </c>
      <c r="J141" s="1">
        <v>200.40413901933178</v>
      </c>
      <c r="K141" s="1">
        <v>199</v>
      </c>
      <c r="L141" s="1">
        <v>304.87698185613868</v>
      </c>
      <c r="M141" s="1">
        <v>275</v>
      </c>
      <c r="N141" s="1">
        <v>260</v>
      </c>
      <c r="O141" s="1">
        <v>274.66666666666663</v>
      </c>
      <c r="P141" s="1">
        <v>300</v>
      </c>
      <c r="Q141" s="1">
        <v>298.63711452958006</v>
      </c>
      <c r="R141" s="1">
        <v>217.00672911484926</v>
      </c>
      <c r="S141" s="1">
        <v>0</v>
      </c>
      <c r="T141" s="1">
        <v>400</v>
      </c>
      <c r="U141" s="1">
        <v>250</v>
      </c>
      <c r="V141" s="1">
        <v>250</v>
      </c>
      <c r="W141" s="1">
        <v>200</v>
      </c>
      <c r="X141" s="1">
        <v>230</v>
      </c>
      <c r="Y141" s="1">
        <v>175</v>
      </c>
      <c r="Z141" s="1">
        <v>198</v>
      </c>
      <c r="AA141" s="1">
        <v>198</v>
      </c>
      <c r="AB141" s="1">
        <v>220</v>
      </c>
      <c r="AC141" s="1">
        <v>245</v>
      </c>
      <c r="AD141" s="1">
        <v>266</v>
      </c>
      <c r="AE141" s="1">
        <v>130</v>
      </c>
      <c r="AF141" s="1">
        <v>75</v>
      </c>
      <c r="AG141" s="1">
        <v>123.30811999999999</v>
      </c>
      <c r="AH141" s="1">
        <v>138.43392000000003</v>
      </c>
      <c r="AI141" s="1">
        <v>89.999999999999957</v>
      </c>
      <c r="AJ141" s="1">
        <v>182.33647715896527</v>
      </c>
      <c r="AK141" s="1">
        <v>72.671926978371573</v>
      </c>
      <c r="AL141" s="1">
        <v>102.86116744367247</v>
      </c>
      <c r="AM141" s="1">
        <v>103.13351511741106</v>
      </c>
      <c r="AN141" s="1">
        <v>121.06232532850737</v>
      </c>
      <c r="AO141" s="1">
        <v>38.994471516213714</v>
      </c>
      <c r="AP141" s="1">
        <v>25.515999958380608</v>
      </c>
      <c r="AQ141" s="1">
        <v>18.102570682158074</v>
      </c>
      <c r="AR141" s="1">
        <v>35</v>
      </c>
      <c r="AS141" s="1">
        <v>39</v>
      </c>
      <c r="AT141" s="1">
        <v>41</v>
      </c>
      <c r="AU141" s="1">
        <v>0</v>
      </c>
      <c r="AV141" s="1">
        <v>0</v>
      </c>
    </row>
    <row r="142" spans="1:48" x14ac:dyDescent="0.3">
      <c r="A142" s="4">
        <v>410022034</v>
      </c>
      <c r="B142" s="4" t="s">
        <v>226</v>
      </c>
      <c r="C142" s="4" t="str">
        <f>IFERROR(VLOOKUP(Tabela1[[#This Row],[Código]],Cadastro!$A:$J,2,0),"Sem Cadastro")</f>
        <v>ADOÇANTES</v>
      </c>
      <c r="D142" s="4" t="str">
        <f>IFERROR(VLOOKUP(Tabela1[[#This Row],[Código]],Cadastro!$A:$J,3,0),"Sem Cadastro")</f>
        <v>ERITRITOL</v>
      </c>
      <c r="E142" s="4" t="str">
        <f>IFERROR(VLOOKUP(Tabela1[[#This Row],[Código]],Cadastro!$A:$J,4,0),"Sem Cadastro")</f>
        <v>ERITRITOL PÓ</v>
      </c>
      <c r="F142" s="4" t="str">
        <f>IFERROR(VLOOKUP(Tabela1[[#This Row],[Código]],Cadastro!$A:$J,5,0),"Sem Cadastro")</f>
        <v>DESCONTINUADO</v>
      </c>
      <c r="G142" s="5" t="s">
        <v>224</v>
      </c>
      <c r="H142" s="1">
        <v>347.99999999999989</v>
      </c>
      <c r="I142" s="1">
        <v>553.12801576217055</v>
      </c>
      <c r="J142" s="1">
        <v>530.29605390494487</v>
      </c>
      <c r="K142" s="1">
        <v>194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</row>
    <row r="143" spans="1:48" x14ac:dyDescent="0.3">
      <c r="A143" s="4">
        <v>410042947</v>
      </c>
      <c r="B143" s="4" t="s">
        <v>227</v>
      </c>
      <c r="C143" s="4" t="str">
        <f>IFERROR(VLOOKUP(Tabela1[[#This Row],[Código]],Cadastro!$A:$J,2,0),"Sem Cadastro")</f>
        <v>ALIMENTOS</v>
      </c>
      <c r="D143" s="4" t="str">
        <f>IFERROR(VLOOKUP(Tabela1[[#This Row],[Código]],Cadastro!$A:$J,3,0),"Sem Cadastro")</f>
        <v>GELEIAS</v>
      </c>
      <c r="E143" s="4" t="str">
        <f>IFERROR(VLOOKUP(Tabela1[[#This Row],[Código]],Cadastro!$A:$J,4,0),"Sem Cadastro")</f>
        <v>GELEIA DE FRUTAS</v>
      </c>
      <c r="F143" s="4" t="str">
        <f>IFERROR(VLOOKUP(Tabela1[[#This Row],[Código]],Cadastro!$A:$J,5,0),"Sem Cadastro")</f>
        <v>DESCONTINUADO</v>
      </c>
      <c r="G143" s="5" t="s">
        <v>66</v>
      </c>
      <c r="H143" s="1">
        <v>0</v>
      </c>
      <c r="I143" s="1">
        <v>0</v>
      </c>
      <c r="J143" s="1">
        <v>0</v>
      </c>
      <c r="K143" s="1">
        <v>15</v>
      </c>
      <c r="L143" s="1">
        <v>30.086544262118949</v>
      </c>
      <c r="M143" s="1">
        <v>50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</row>
    <row r="144" spans="1:48" x14ac:dyDescent="0.3">
      <c r="A144" s="4">
        <v>410040757</v>
      </c>
      <c r="B144" s="4" t="s">
        <v>228</v>
      </c>
      <c r="C144" s="4" t="str">
        <f>IFERROR(VLOOKUP(Tabela1[[#This Row],[Código]],Cadastro!$A:$J,2,0),"Sem Cadastro")</f>
        <v>ALIMENTOS</v>
      </c>
      <c r="D144" s="4" t="str">
        <f>IFERROR(VLOOKUP(Tabela1[[#This Row],[Código]],Cadastro!$A:$J,3,0),"Sem Cadastro")</f>
        <v>GELEIAS</v>
      </c>
      <c r="E144" s="4" t="str">
        <f>IFERROR(VLOOKUP(Tabela1[[#This Row],[Código]],Cadastro!$A:$J,4,0),"Sem Cadastro")</f>
        <v>GELEIA DE FRUTAS</v>
      </c>
      <c r="F144" s="4" t="str">
        <f>IFERROR(VLOOKUP(Tabela1[[#This Row],[Código]],Cadastro!$A:$J,5,0),"Sem Cadastro")</f>
        <v>DESCONTINUADO</v>
      </c>
      <c r="G144" s="5" t="s">
        <v>66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1776</v>
      </c>
      <c r="P144" s="1">
        <v>1776.0000000000002</v>
      </c>
      <c r="Q144" s="1">
        <v>1250</v>
      </c>
      <c r="R144" s="1">
        <v>1066</v>
      </c>
      <c r="S144" s="1">
        <v>708</v>
      </c>
      <c r="T144" s="1">
        <v>450</v>
      </c>
      <c r="U144" s="1">
        <v>450</v>
      </c>
      <c r="V144" s="1">
        <v>450</v>
      </c>
      <c r="W144" s="1">
        <v>500</v>
      </c>
      <c r="X144" s="1">
        <v>386.75318030184548</v>
      </c>
      <c r="Y144" s="1">
        <v>450</v>
      </c>
      <c r="Z144" s="1">
        <v>360</v>
      </c>
      <c r="AA144" s="1">
        <v>360</v>
      </c>
      <c r="AB144" s="1">
        <v>400</v>
      </c>
      <c r="AC144" s="1">
        <v>441</v>
      </c>
      <c r="AD144" s="1">
        <v>400</v>
      </c>
      <c r="AE144" s="1">
        <v>400</v>
      </c>
      <c r="AF144" s="1">
        <v>429</v>
      </c>
      <c r="AG144" s="1">
        <v>306.14568250000002</v>
      </c>
      <c r="AH144" s="1">
        <v>315.8955450000002</v>
      </c>
      <c r="AI144" s="1">
        <v>259.99999999999989</v>
      </c>
      <c r="AJ144" s="1">
        <v>308.19563576819121</v>
      </c>
      <c r="AK144" s="1">
        <v>297.25015107064547</v>
      </c>
      <c r="AL144" s="1">
        <v>292.54472243643806</v>
      </c>
      <c r="AM144" s="1">
        <v>7.685743071253615</v>
      </c>
      <c r="AN144" s="1">
        <v>11.616614706899831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</row>
    <row r="145" spans="1:48" x14ac:dyDescent="0.3">
      <c r="A145" s="4">
        <v>410031809</v>
      </c>
      <c r="B145" s="4" t="s">
        <v>229</v>
      </c>
      <c r="C145" s="4" t="str">
        <f>IFERROR(VLOOKUP(Tabela1[[#This Row],[Código]],Cadastro!$A:$J,2,0),"Sem Cadastro")</f>
        <v>ALIMENTOS</v>
      </c>
      <c r="D145" s="4" t="str">
        <f>IFERROR(VLOOKUP(Tabela1[[#This Row],[Código]],Cadastro!$A:$J,3,0),"Sem Cadastro")</f>
        <v>HUMMM</v>
      </c>
      <c r="E145" s="4" t="str">
        <f>IFERROR(VLOOKUP(Tabela1[[#This Row],[Código]],Cadastro!$A:$J,4,0),"Sem Cadastro")</f>
        <v>HUMMM</v>
      </c>
      <c r="F145" s="4" t="str">
        <f>IFERROR(VLOOKUP(Tabela1[[#This Row],[Código]],Cadastro!$A:$J,5,0),"Sem Cadastro")</f>
        <v>DESCONTINUADO</v>
      </c>
      <c r="G145" s="5" t="s">
        <v>230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1519.5</v>
      </c>
      <c r="U145" s="1">
        <v>751.63103935540153</v>
      </c>
      <c r="V145" s="1">
        <v>1064.810639086819</v>
      </c>
      <c r="W145" s="1">
        <v>1064.810639086819</v>
      </c>
      <c r="X145" s="1">
        <v>1064.810639086819</v>
      </c>
      <c r="Y145" s="1">
        <v>1000</v>
      </c>
      <c r="Z145" s="1">
        <v>727</v>
      </c>
      <c r="AA145" s="1">
        <v>727</v>
      </c>
      <c r="AB145" s="1">
        <v>400</v>
      </c>
      <c r="AC145" s="1">
        <v>294</v>
      </c>
      <c r="AD145" s="1">
        <v>275</v>
      </c>
      <c r="AE145" s="1">
        <v>250</v>
      </c>
      <c r="AF145" s="1">
        <v>215</v>
      </c>
      <c r="AG145" s="1">
        <v>467.39185198061665</v>
      </c>
      <c r="AH145" s="1">
        <v>250</v>
      </c>
      <c r="AI145" s="1">
        <v>0</v>
      </c>
      <c r="AJ145" s="1">
        <v>109.21999084688018</v>
      </c>
      <c r="AK145" s="1">
        <v>174.51253188740725</v>
      </c>
      <c r="AL145" s="1">
        <v>135.86538582971292</v>
      </c>
      <c r="AM145" s="1">
        <v>219.30686460200138</v>
      </c>
      <c r="AN145" s="1">
        <v>222.63182618603969</v>
      </c>
      <c r="AO145" s="1">
        <v>10.463127005298141</v>
      </c>
      <c r="AP145" s="1">
        <v>21.824830526441822</v>
      </c>
      <c r="AQ145" s="1">
        <v>14.173550597641357</v>
      </c>
      <c r="AR145" s="1">
        <v>10</v>
      </c>
      <c r="AS145" s="1">
        <v>11</v>
      </c>
      <c r="AT145" s="1">
        <v>11</v>
      </c>
      <c r="AU145" s="1">
        <v>15</v>
      </c>
      <c r="AV145" s="1">
        <v>0</v>
      </c>
    </row>
    <row r="146" spans="1:48" ht="14.4" x14ac:dyDescent="0.3">
      <c r="A146" s="4">
        <v>410032609</v>
      </c>
      <c r="B146" t="s">
        <v>231</v>
      </c>
      <c r="C146" s="4" t="str">
        <f>IFERROR(VLOOKUP(Tabela1[[#This Row],[Código]],Cadastro!$A:$J,2,0),"Sem Cadastro")</f>
        <v>ALIMENTOS</v>
      </c>
      <c r="D146" s="4" t="str">
        <f>IFERROR(VLOOKUP(Tabela1[[#This Row],[Código]],Cadastro!$A:$J,3,0),"Sem Cadastro")</f>
        <v>HUMMM</v>
      </c>
      <c r="E146" s="4" t="str">
        <f>IFERROR(VLOOKUP(Tabela1[[#This Row],[Código]],Cadastro!$A:$J,4,0),"Sem Cadastro")</f>
        <v>HUMMM</v>
      </c>
      <c r="F146" s="4" t="str">
        <f>IFERROR(VLOOKUP(Tabela1[[#This Row],[Código]],Cadastro!$A:$J,5,0),"Sem Cadastro")</f>
        <v>DESCONTINUADO</v>
      </c>
      <c r="G146" s="5" t="s">
        <v>230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96.999738656424441</v>
      </c>
      <c r="AO146" s="1">
        <v>169.14632385419887</v>
      </c>
      <c r="AP146" s="1">
        <v>38.864231024019887</v>
      </c>
      <c r="AQ146" s="1">
        <v>30.781476866016064</v>
      </c>
      <c r="AR146" s="1">
        <v>13</v>
      </c>
      <c r="AS146" s="1">
        <v>23</v>
      </c>
      <c r="AT146" s="1">
        <v>23</v>
      </c>
      <c r="AU146" s="1">
        <v>15</v>
      </c>
      <c r="AV146" s="1">
        <v>0</v>
      </c>
    </row>
    <row r="147" spans="1:48" x14ac:dyDescent="0.3">
      <c r="A147" s="4">
        <v>410032509</v>
      </c>
      <c r="B147" s="4" t="s">
        <v>232</v>
      </c>
      <c r="C147" s="4" t="str">
        <f>IFERROR(VLOOKUP(Tabela1[[#This Row],[Código]],Cadastro!$A:$J,2,0),"Sem Cadastro")</f>
        <v>ALIMENTOS</v>
      </c>
      <c r="D147" s="4" t="str">
        <f>IFERROR(VLOOKUP(Tabela1[[#This Row],[Código]],Cadastro!$A:$J,3,0),"Sem Cadastro")</f>
        <v>HUMMM</v>
      </c>
      <c r="E147" s="4" t="str">
        <f>IFERROR(VLOOKUP(Tabela1[[#This Row],[Código]],Cadastro!$A:$J,4,0),"Sem Cadastro")</f>
        <v>HUMMM</v>
      </c>
      <c r="F147" s="4" t="str">
        <f>IFERROR(VLOOKUP(Tabela1[[#This Row],[Código]],Cadastro!$A:$J,5,0),"Sem Cadastro")</f>
        <v>DESCONTINUADO</v>
      </c>
      <c r="G147" s="5" t="s">
        <v>230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100.48241614428099</v>
      </c>
      <c r="AO147" s="1">
        <v>160.2482346726016</v>
      </c>
      <c r="AP147" s="1">
        <v>39.374426274348508</v>
      </c>
      <c r="AQ147" s="1">
        <v>31.278782647589153</v>
      </c>
      <c r="AR147" s="1">
        <v>14</v>
      </c>
      <c r="AS147" s="1">
        <v>18</v>
      </c>
      <c r="AT147" s="1">
        <v>18</v>
      </c>
      <c r="AU147" s="1">
        <v>15</v>
      </c>
      <c r="AV147" s="1">
        <v>0</v>
      </c>
    </row>
    <row r="148" spans="1:48" x14ac:dyDescent="0.3">
      <c r="A148" s="4">
        <v>410031709</v>
      </c>
      <c r="B148" s="4" t="s">
        <v>233</v>
      </c>
      <c r="C148" s="4" t="str">
        <f>IFERROR(VLOOKUP(Tabela1[[#This Row],[Código]],Cadastro!$A:$J,2,0),"Sem Cadastro")</f>
        <v>ALIMENTOS</v>
      </c>
      <c r="D148" s="4" t="str">
        <f>IFERROR(VLOOKUP(Tabela1[[#This Row],[Código]],Cadastro!$A:$J,3,0),"Sem Cadastro")</f>
        <v>HUMMM</v>
      </c>
      <c r="E148" s="4" t="str">
        <f>IFERROR(VLOOKUP(Tabela1[[#This Row],[Código]],Cadastro!$A:$J,4,0),"Sem Cadastro")</f>
        <v>HUMMM</v>
      </c>
      <c r="F148" s="4" t="str">
        <f>IFERROR(VLOOKUP(Tabela1[[#This Row],[Código]],Cadastro!$A:$J,5,0),"Sem Cadastro")</f>
        <v>DESCONTINUADO</v>
      </c>
      <c r="G148" s="5" t="s">
        <v>230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1519.5</v>
      </c>
      <c r="U148" s="1">
        <v>751.63103935540153</v>
      </c>
      <c r="V148" s="1">
        <v>1064.810639086819</v>
      </c>
      <c r="W148" s="1">
        <v>1064.810639086819</v>
      </c>
      <c r="X148" s="1">
        <v>1064.810639086819</v>
      </c>
      <c r="Y148" s="1">
        <v>1000</v>
      </c>
      <c r="Z148" s="1">
        <v>858</v>
      </c>
      <c r="AA148" s="1">
        <v>858</v>
      </c>
      <c r="AB148" s="1">
        <v>450</v>
      </c>
      <c r="AC148" s="1">
        <v>343</v>
      </c>
      <c r="AD148" s="1">
        <v>350</v>
      </c>
      <c r="AE148" s="1">
        <v>300</v>
      </c>
      <c r="AF148" s="1">
        <v>268</v>
      </c>
      <c r="AG148" s="1">
        <v>580.31100280146075</v>
      </c>
      <c r="AH148" s="1">
        <v>250</v>
      </c>
      <c r="AI148" s="1">
        <v>408.39057538965153</v>
      </c>
      <c r="AJ148" s="1">
        <v>142.71276415509351</v>
      </c>
      <c r="AK148" s="1">
        <v>79.639153983255241</v>
      </c>
      <c r="AL148" s="1">
        <v>85.649026382945266</v>
      </c>
      <c r="AM148" s="1">
        <v>119.07470701364146</v>
      </c>
      <c r="AN148" s="1">
        <v>125.18282836993707</v>
      </c>
      <c r="AO148" s="1">
        <v>67.558031349832603</v>
      </c>
      <c r="AP148" s="1">
        <v>23.018187201318362</v>
      </c>
      <c r="AQ148" s="1">
        <v>15.839159555456996</v>
      </c>
      <c r="AR148" s="1">
        <v>28</v>
      </c>
      <c r="AS148" s="1">
        <v>15</v>
      </c>
      <c r="AT148" s="1">
        <v>0</v>
      </c>
      <c r="AU148" s="1">
        <v>0</v>
      </c>
      <c r="AV148" s="1">
        <v>0</v>
      </c>
    </row>
    <row r="149" spans="1:48" x14ac:dyDescent="0.3">
      <c r="A149" s="4">
        <v>410032108</v>
      </c>
      <c r="B149" s="4" t="s">
        <v>234</v>
      </c>
      <c r="C149" s="4" t="str">
        <f>IFERROR(VLOOKUP(Tabela1[[#This Row],[Código]],Cadastro!$A:$J,2,0),"Sem Cadastro")</f>
        <v>ALIMENTOS</v>
      </c>
      <c r="D149" s="4" t="str">
        <f>IFERROR(VLOOKUP(Tabela1[[#This Row],[Código]],Cadastro!$A:$J,3,0),"Sem Cadastro")</f>
        <v>HUMMM</v>
      </c>
      <c r="E149" s="4" t="str">
        <f>IFERROR(VLOOKUP(Tabela1[[#This Row],[Código]],Cadastro!$A:$J,4,0),"Sem Cadastro")</f>
        <v>HUMMM</v>
      </c>
      <c r="F149" s="4" t="str">
        <f>IFERROR(VLOOKUP(Tabela1[[#This Row],[Código]],Cadastro!$A:$J,5,0),"Sem Cadastro")</f>
        <v>DESCONTINUADO</v>
      </c>
      <c r="G149" s="5" t="s">
        <v>230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1692.5</v>
      </c>
      <c r="U149" s="1">
        <v>446.63593811412488</v>
      </c>
      <c r="V149" s="1">
        <v>632.7342456616766</v>
      </c>
      <c r="W149" s="1">
        <v>632.7342456616766</v>
      </c>
      <c r="X149" s="1">
        <v>632.7342456616766</v>
      </c>
      <c r="Y149" s="1">
        <v>600</v>
      </c>
      <c r="Z149" s="1">
        <v>866</v>
      </c>
      <c r="AA149" s="1">
        <v>866</v>
      </c>
      <c r="AB149" s="1">
        <v>650</v>
      </c>
      <c r="AC149" s="1">
        <v>686</v>
      </c>
      <c r="AD149" s="1">
        <v>500</v>
      </c>
      <c r="AE149" s="1">
        <v>475</v>
      </c>
      <c r="AF149" s="1">
        <v>322</v>
      </c>
      <c r="AG149" s="1">
        <v>642.83957821273577</v>
      </c>
      <c r="AH149" s="1">
        <v>250</v>
      </c>
      <c r="AI149" s="1">
        <v>464.97292602247126</v>
      </c>
      <c r="AJ149" s="1">
        <v>308.22695680676117</v>
      </c>
      <c r="AK149" s="1">
        <v>181.2474128224012</v>
      </c>
      <c r="AL149" s="1">
        <v>142.24152030312234</v>
      </c>
      <c r="AM149" s="1">
        <v>186.38233186305237</v>
      </c>
      <c r="AN149" s="1">
        <v>210.83627578050712</v>
      </c>
      <c r="AO149" s="1">
        <v>188.01403016568048</v>
      </c>
      <c r="AP149" s="1">
        <v>40.234721562096006</v>
      </c>
      <c r="AQ149" s="1">
        <v>40.986060198135057</v>
      </c>
      <c r="AR149" s="1">
        <v>79</v>
      </c>
      <c r="AS149" s="1">
        <v>68</v>
      </c>
      <c r="AT149" s="1">
        <v>68</v>
      </c>
      <c r="AU149" s="1">
        <v>50</v>
      </c>
      <c r="AV149" s="1">
        <v>0</v>
      </c>
    </row>
    <row r="150" spans="1:48" x14ac:dyDescent="0.3">
      <c r="A150" s="4">
        <v>410031108</v>
      </c>
      <c r="B150" s="4" t="s">
        <v>235</v>
      </c>
      <c r="C150" s="4" t="str">
        <f>IFERROR(VLOOKUP(Tabela1[[#This Row],[Código]],Cadastro!$A:$J,2,0),"Sem Cadastro")</f>
        <v>ALIMENTOS</v>
      </c>
      <c r="D150" s="4" t="str">
        <f>IFERROR(VLOOKUP(Tabela1[[#This Row],[Código]],Cadastro!$A:$J,3,0),"Sem Cadastro")</f>
        <v>HUMMM</v>
      </c>
      <c r="E150" s="4" t="str">
        <f>IFERROR(VLOOKUP(Tabela1[[#This Row],[Código]],Cadastro!$A:$J,4,0),"Sem Cadastro")</f>
        <v>HUMMM</v>
      </c>
      <c r="F150" s="4" t="str">
        <f>IFERROR(VLOOKUP(Tabela1[[#This Row],[Código]],Cadastro!$A:$J,5,0),"Sem Cadastro")</f>
        <v>DESCONTINUADO</v>
      </c>
      <c r="G150" s="5" t="s">
        <v>230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1692.5</v>
      </c>
      <c r="U150" s="1">
        <v>446.63593811412488</v>
      </c>
      <c r="V150" s="1">
        <v>632.7342456616766</v>
      </c>
      <c r="W150" s="1">
        <v>632.7342456616766</v>
      </c>
      <c r="X150" s="1">
        <v>632.7342456616766</v>
      </c>
      <c r="Y150" s="1">
        <v>600</v>
      </c>
      <c r="Z150" s="1">
        <v>820</v>
      </c>
      <c r="AA150" s="1">
        <v>820</v>
      </c>
      <c r="AB150" s="1">
        <v>600</v>
      </c>
      <c r="AC150" s="1">
        <v>588</v>
      </c>
      <c r="AD150" s="1">
        <v>465</v>
      </c>
      <c r="AE150" s="1">
        <v>465</v>
      </c>
      <c r="AF150" s="1">
        <v>215</v>
      </c>
      <c r="AG150" s="1">
        <v>577.65294234401961</v>
      </c>
      <c r="AH150" s="1">
        <v>250</v>
      </c>
      <c r="AI150" s="1">
        <v>423.77374574065192</v>
      </c>
      <c r="AJ150" s="1">
        <v>257.05679803161746</v>
      </c>
      <c r="AK150" s="1">
        <v>149.83304440268577</v>
      </c>
      <c r="AL150" s="1">
        <v>106.35456750798851</v>
      </c>
      <c r="AM150" s="1">
        <v>134.85919249913783</v>
      </c>
      <c r="AN150" s="1">
        <v>157.0773151397986</v>
      </c>
      <c r="AO150" s="1">
        <v>90.689710748041705</v>
      </c>
      <c r="AP150" s="1">
        <v>14.073925448053302</v>
      </c>
      <c r="AQ150" s="1">
        <v>13.988527394868846</v>
      </c>
      <c r="AR150" s="1">
        <v>47</v>
      </c>
      <c r="AS150" s="1">
        <v>23</v>
      </c>
      <c r="AT150" s="1">
        <v>23</v>
      </c>
      <c r="AU150" s="1">
        <v>22</v>
      </c>
      <c r="AV150" s="1">
        <v>0</v>
      </c>
    </row>
    <row r="151" spans="1:48" x14ac:dyDescent="0.3">
      <c r="A151" s="4">
        <v>410031008</v>
      </c>
      <c r="B151" s="4" t="s">
        <v>236</v>
      </c>
      <c r="C151" s="4" t="str">
        <f>IFERROR(VLOOKUP(Tabela1[[#This Row],[Código]],Cadastro!$A:$J,2,0),"Sem Cadastro")</f>
        <v>ALIMENTOS</v>
      </c>
      <c r="D151" s="4" t="str">
        <f>IFERROR(VLOOKUP(Tabela1[[#This Row],[Código]],Cadastro!$A:$J,3,0),"Sem Cadastro")</f>
        <v>HUMMM</v>
      </c>
      <c r="E151" s="4" t="str">
        <f>IFERROR(VLOOKUP(Tabela1[[#This Row],[Código]],Cadastro!$A:$J,4,0),"Sem Cadastro")</f>
        <v>HUMMM</v>
      </c>
      <c r="F151" s="4" t="str">
        <f>IFERROR(VLOOKUP(Tabela1[[#This Row],[Código]],Cadastro!$A:$J,5,0),"Sem Cadastro")</f>
        <v>DESCONTINUADO</v>
      </c>
      <c r="G151" s="5" t="s">
        <v>230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1692.5</v>
      </c>
      <c r="U151" s="1">
        <v>446.63593811412488</v>
      </c>
      <c r="V151" s="1">
        <v>632.7342456616766</v>
      </c>
      <c r="W151" s="1">
        <v>632.7342456616766</v>
      </c>
      <c r="X151" s="1">
        <v>632.7342456616766</v>
      </c>
      <c r="Y151" s="1">
        <v>600</v>
      </c>
      <c r="Z151" s="1">
        <v>788</v>
      </c>
      <c r="AA151" s="1">
        <v>788</v>
      </c>
      <c r="AB151" s="1">
        <v>600</v>
      </c>
      <c r="AC151" s="1">
        <v>588</v>
      </c>
      <c r="AD151" s="1">
        <v>465</v>
      </c>
      <c r="AE151" s="1">
        <v>465</v>
      </c>
      <c r="AF151" s="1">
        <v>268</v>
      </c>
      <c r="AG151" s="1">
        <v>574.28942466069122</v>
      </c>
      <c r="AH151" s="1">
        <v>250</v>
      </c>
      <c r="AI151" s="1">
        <v>412.57790419925465</v>
      </c>
      <c r="AJ151" s="1">
        <v>0</v>
      </c>
      <c r="AK151" s="1">
        <v>156.2898626057424</v>
      </c>
      <c r="AL151" s="1">
        <v>121.96782694336675</v>
      </c>
      <c r="AM151" s="1">
        <v>158.42643755469513</v>
      </c>
      <c r="AN151" s="1">
        <v>184.43116974279232</v>
      </c>
      <c r="AO151" s="1">
        <v>198.86969663147346</v>
      </c>
      <c r="AP151" s="1">
        <v>83.115016733788295</v>
      </c>
      <c r="AQ151" s="1">
        <v>54.840014316856333</v>
      </c>
      <c r="AR151" s="1">
        <v>90</v>
      </c>
      <c r="AS151" s="1">
        <v>53</v>
      </c>
      <c r="AT151" s="1">
        <v>53</v>
      </c>
      <c r="AU151" s="1">
        <v>40</v>
      </c>
      <c r="AV151" s="1">
        <v>0</v>
      </c>
    </row>
    <row r="152" spans="1:48" x14ac:dyDescent="0.3">
      <c r="A152" s="4">
        <v>410031208</v>
      </c>
      <c r="B152" s="4" t="s">
        <v>237</v>
      </c>
      <c r="C152" s="4" t="str">
        <f>IFERROR(VLOOKUP(Tabela1[[#This Row],[Código]],Cadastro!$A:$J,2,0),"Sem Cadastro")</f>
        <v>ALIMENTOS</v>
      </c>
      <c r="D152" s="4" t="str">
        <f>IFERROR(VLOOKUP(Tabela1[[#This Row],[Código]],Cadastro!$A:$J,3,0),"Sem Cadastro")</f>
        <v>HUMMM</v>
      </c>
      <c r="E152" s="4" t="str">
        <f>IFERROR(VLOOKUP(Tabela1[[#This Row],[Código]],Cadastro!$A:$J,4,0),"Sem Cadastro")</f>
        <v>HUMMM</v>
      </c>
      <c r="F152" s="4" t="str">
        <f>IFERROR(VLOOKUP(Tabela1[[#This Row],[Código]],Cadastro!$A:$J,5,0),"Sem Cadastro")</f>
        <v>DESCONTINUADO</v>
      </c>
      <c r="G152" s="5" t="s">
        <v>230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1692.5</v>
      </c>
      <c r="U152" s="1">
        <v>446.63593811412488</v>
      </c>
      <c r="V152" s="1">
        <v>632.7342456616766</v>
      </c>
      <c r="W152" s="1">
        <v>632.7342456616766</v>
      </c>
      <c r="X152" s="1">
        <v>632.7342456616766</v>
      </c>
      <c r="Y152" s="1">
        <v>600</v>
      </c>
      <c r="Z152" s="1">
        <v>799</v>
      </c>
      <c r="AA152" s="1">
        <v>799</v>
      </c>
      <c r="AB152" s="1">
        <v>600</v>
      </c>
      <c r="AC152" s="1">
        <v>588</v>
      </c>
      <c r="AD152" s="1">
        <v>490</v>
      </c>
      <c r="AE152" s="1">
        <v>450</v>
      </c>
      <c r="AF152" s="1">
        <v>215</v>
      </c>
      <c r="AG152" s="1">
        <v>573.73814195763157</v>
      </c>
      <c r="AH152" s="1">
        <v>250</v>
      </c>
      <c r="AI152" s="1">
        <v>420.78154162366798</v>
      </c>
      <c r="AJ152" s="1">
        <v>0</v>
      </c>
      <c r="AK152" s="1">
        <v>131.22502506941757</v>
      </c>
      <c r="AL152" s="1">
        <v>102.36467735200617</v>
      </c>
      <c r="AM152" s="1">
        <v>135.59680423284658</v>
      </c>
      <c r="AN152" s="1">
        <v>154.96752471979656</v>
      </c>
      <c r="AO152" s="1">
        <v>84.054920968739623</v>
      </c>
      <c r="AP152" s="1">
        <v>17.052118666846905</v>
      </c>
      <c r="AQ152" s="1">
        <v>10.553203791139746</v>
      </c>
      <c r="AR152" s="1">
        <v>54</v>
      </c>
      <c r="AS152" s="1">
        <v>37</v>
      </c>
      <c r="AT152" s="1">
        <v>37</v>
      </c>
      <c r="AU152" s="1">
        <v>22</v>
      </c>
      <c r="AV152" s="1">
        <v>0</v>
      </c>
    </row>
    <row r="153" spans="1:48" x14ac:dyDescent="0.3">
      <c r="A153" s="4">
        <v>410031909</v>
      </c>
      <c r="B153" s="4" t="s">
        <v>238</v>
      </c>
      <c r="C153" s="4" t="str">
        <f>IFERROR(VLOOKUP(Tabela1[[#This Row],[Código]],Cadastro!$A:$J,2,0),"Sem Cadastro")</f>
        <v>ALIMENTOS</v>
      </c>
      <c r="D153" s="4" t="str">
        <f>IFERROR(VLOOKUP(Tabela1[[#This Row],[Código]],Cadastro!$A:$J,3,0),"Sem Cadastro")</f>
        <v>HUMMM</v>
      </c>
      <c r="E153" s="4" t="str">
        <f>IFERROR(VLOOKUP(Tabela1[[#This Row],[Código]],Cadastro!$A:$J,4,0),"Sem Cadastro")</f>
        <v>HUMMM</v>
      </c>
      <c r="F153" s="4" t="str">
        <f>IFERROR(VLOOKUP(Tabela1[[#This Row],[Código]],Cadastro!$A:$J,5,0),"Sem Cadastro")</f>
        <v>DESCONTINUADO</v>
      </c>
      <c r="G153" s="5" t="s">
        <v>230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1519.5</v>
      </c>
      <c r="U153" s="1">
        <v>751.63103935540153</v>
      </c>
      <c r="V153" s="1">
        <v>1064.810639086819</v>
      </c>
      <c r="W153" s="1">
        <v>1064.810639086819</v>
      </c>
      <c r="X153" s="1">
        <v>1064.810639086819</v>
      </c>
      <c r="Y153" s="1">
        <v>1000</v>
      </c>
      <c r="Z153" s="1">
        <v>747</v>
      </c>
      <c r="AA153" s="1">
        <v>747</v>
      </c>
      <c r="AB153" s="1">
        <v>420</v>
      </c>
      <c r="AC153" s="1">
        <v>294</v>
      </c>
      <c r="AD153" s="1">
        <v>300</v>
      </c>
      <c r="AE153" s="1">
        <v>275</v>
      </c>
      <c r="AF153" s="1">
        <v>242</v>
      </c>
      <c r="AG153" s="1">
        <v>489.24662314978815</v>
      </c>
      <c r="AH153" s="1">
        <v>250</v>
      </c>
      <c r="AI153" s="1">
        <v>0</v>
      </c>
      <c r="AJ153" s="1">
        <v>0</v>
      </c>
      <c r="AK153" s="1">
        <v>175.23442871998228</v>
      </c>
      <c r="AL153" s="1">
        <v>157.2075149561594</v>
      </c>
      <c r="AM153" s="1">
        <v>259.05788431565071</v>
      </c>
      <c r="AN153" s="1">
        <v>258.54586613310005</v>
      </c>
      <c r="AO153" s="1">
        <v>67.972498986524442</v>
      </c>
      <c r="AP153" s="1">
        <v>55.526328707350828</v>
      </c>
      <c r="AQ153" s="1">
        <v>64.235688731926587</v>
      </c>
      <c r="AR153" s="1">
        <v>42</v>
      </c>
      <c r="AS153" s="1">
        <v>13</v>
      </c>
      <c r="AT153" s="1">
        <v>13</v>
      </c>
      <c r="AU153" s="1">
        <v>15</v>
      </c>
      <c r="AV153" s="1">
        <v>0</v>
      </c>
    </row>
    <row r="154" spans="1:48" x14ac:dyDescent="0.3">
      <c r="A154" s="4">
        <v>410032009</v>
      </c>
      <c r="B154" s="4" t="s">
        <v>239</v>
      </c>
      <c r="C154" s="4" t="str">
        <f>IFERROR(VLOOKUP(Tabela1[[#This Row],[Código]],Cadastro!$A:$J,2,0),"Sem Cadastro")</f>
        <v>ALIMENTOS</v>
      </c>
      <c r="D154" s="4" t="str">
        <f>IFERROR(VLOOKUP(Tabela1[[#This Row],[Código]],Cadastro!$A:$J,3,0),"Sem Cadastro")</f>
        <v>HUMMM</v>
      </c>
      <c r="E154" s="4" t="str">
        <f>IFERROR(VLOOKUP(Tabela1[[#This Row],[Código]],Cadastro!$A:$J,4,0),"Sem Cadastro")</f>
        <v>HUMMM</v>
      </c>
      <c r="F154" s="4" t="str">
        <f>IFERROR(VLOOKUP(Tabela1[[#This Row],[Código]],Cadastro!$A:$J,5,0),"Sem Cadastro")</f>
        <v>DESCONTINUADO</v>
      </c>
      <c r="G154" s="5" t="s">
        <v>230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1519.5</v>
      </c>
      <c r="U154" s="1">
        <v>751.63103935540153</v>
      </c>
      <c r="V154" s="1">
        <v>1064.810639086819</v>
      </c>
      <c r="W154" s="1">
        <v>1064.810639086819</v>
      </c>
      <c r="X154" s="1">
        <v>1064.810639086819</v>
      </c>
      <c r="Y154" s="1">
        <v>1000</v>
      </c>
      <c r="Z154" s="1">
        <v>669</v>
      </c>
      <c r="AA154" s="1">
        <v>669</v>
      </c>
      <c r="AB154" s="1">
        <v>400</v>
      </c>
      <c r="AC154" s="1">
        <v>294</v>
      </c>
      <c r="AD154" s="1">
        <v>300</v>
      </c>
      <c r="AE154" s="1">
        <v>275</v>
      </c>
      <c r="AF154" s="1">
        <v>161</v>
      </c>
      <c r="AG154" s="1">
        <v>438.87667292959702</v>
      </c>
      <c r="AH154" s="1">
        <v>250</v>
      </c>
      <c r="AI154" s="1">
        <v>0</v>
      </c>
      <c r="AJ154" s="1">
        <v>0</v>
      </c>
      <c r="AK154" s="1">
        <v>145.31098977486795</v>
      </c>
      <c r="AL154" s="1">
        <v>118.39062798911165</v>
      </c>
      <c r="AM154" s="1">
        <v>231.25731314102629</v>
      </c>
      <c r="AN154" s="1">
        <v>223.63008790836074</v>
      </c>
      <c r="AO154" s="1">
        <v>13.080843466580809</v>
      </c>
      <c r="AP154" s="1">
        <v>23.39815402699973</v>
      </c>
      <c r="AQ154" s="1">
        <v>15.053658058605686</v>
      </c>
      <c r="AR154" s="1">
        <v>41</v>
      </c>
      <c r="AS154" s="1">
        <v>15</v>
      </c>
      <c r="AT154" s="1">
        <v>15</v>
      </c>
      <c r="AU154" s="1">
        <v>15</v>
      </c>
      <c r="AV154" s="1">
        <v>0</v>
      </c>
    </row>
    <row r="155" spans="1:48" x14ac:dyDescent="0.3">
      <c r="A155" s="4">
        <v>410030908</v>
      </c>
      <c r="B155" s="4" t="s">
        <v>240</v>
      </c>
      <c r="C155" s="4" t="str">
        <f>IFERROR(VLOOKUP(Tabela1[[#This Row],[Código]],Cadastro!$A:$J,2,0),"Sem Cadastro")</f>
        <v>ALIMENTOS</v>
      </c>
      <c r="D155" s="4" t="str">
        <f>IFERROR(VLOOKUP(Tabela1[[#This Row],[Código]],Cadastro!$A:$J,3,0),"Sem Cadastro")</f>
        <v>HUMMM</v>
      </c>
      <c r="E155" s="4" t="str">
        <f>IFERROR(VLOOKUP(Tabela1[[#This Row],[Código]],Cadastro!$A:$J,4,0),"Sem Cadastro")</f>
        <v>HUMMM</v>
      </c>
      <c r="F155" s="4" t="str">
        <f>IFERROR(VLOOKUP(Tabela1[[#This Row],[Código]],Cadastro!$A:$J,5,0),"Sem Cadastro")</f>
        <v>DESCONTINUADO</v>
      </c>
      <c r="G155" s="5" t="s">
        <v>230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1692.5</v>
      </c>
      <c r="U155" s="1">
        <v>446.63593811412488</v>
      </c>
      <c r="V155" s="1">
        <v>632.7342456616766</v>
      </c>
      <c r="W155" s="1">
        <v>632.7342456616766</v>
      </c>
      <c r="X155" s="1">
        <v>632.7342456616766</v>
      </c>
      <c r="Y155" s="1">
        <v>600</v>
      </c>
      <c r="Z155" s="1">
        <v>721</v>
      </c>
      <c r="AA155" s="1">
        <v>721</v>
      </c>
      <c r="AB155" s="1">
        <v>400</v>
      </c>
      <c r="AC155" s="1">
        <v>392</v>
      </c>
      <c r="AD155" s="1">
        <v>350</v>
      </c>
      <c r="AE155" s="1">
        <v>340</v>
      </c>
      <c r="AF155" s="1">
        <v>134</v>
      </c>
      <c r="AG155" s="1">
        <v>442.53877334649889</v>
      </c>
      <c r="AH155" s="1">
        <v>150</v>
      </c>
      <c r="AI155" s="1">
        <v>0</v>
      </c>
      <c r="AJ155" s="1">
        <v>0</v>
      </c>
      <c r="AK155" s="1">
        <v>165.45630470814868</v>
      </c>
      <c r="AL155" s="1">
        <v>148.33534288553707</v>
      </c>
      <c r="AM155" s="1">
        <v>191.7122240186778</v>
      </c>
      <c r="AN155" s="1">
        <v>195.87421466589473</v>
      </c>
      <c r="AO155" s="1">
        <v>149.01085007412601</v>
      </c>
      <c r="AP155" s="1">
        <v>30.815724769644724</v>
      </c>
      <c r="AQ155" s="1">
        <v>16.379198437023888</v>
      </c>
      <c r="AR155" s="1">
        <v>61</v>
      </c>
      <c r="AS155" s="1">
        <v>40</v>
      </c>
      <c r="AT155" s="1">
        <v>40</v>
      </c>
      <c r="AU155" s="1">
        <v>15</v>
      </c>
      <c r="AV155" s="1">
        <v>0</v>
      </c>
    </row>
    <row r="156" spans="1:48" x14ac:dyDescent="0.3">
      <c r="A156" s="4">
        <v>410032208</v>
      </c>
      <c r="B156" s="4" t="s">
        <v>241</v>
      </c>
      <c r="C156" s="4" t="str">
        <f>IFERROR(VLOOKUP(Tabela1[[#This Row],[Código]],Cadastro!$A:$J,2,0),"Sem Cadastro")</f>
        <v>ALIMENTOS</v>
      </c>
      <c r="D156" s="4" t="str">
        <f>IFERROR(VLOOKUP(Tabela1[[#This Row],[Código]],Cadastro!$A:$J,3,0),"Sem Cadastro")</f>
        <v>HUMMM</v>
      </c>
      <c r="E156" s="4" t="str">
        <f>IFERROR(VLOOKUP(Tabela1[[#This Row],[Código]],Cadastro!$A:$J,4,0),"Sem Cadastro")</f>
        <v>HUMMM</v>
      </c>
      <c r="F156" s="4" t="str">
        <f>IFERROR(VLOOKUP(Tabela1[[#This Row],[Código]],Cadastro!$A:$J,5,0),"Sem Cadastro")</f>
        <v>DESCONTINUADO</v>
      </c>
      <c r="G156" s="5" t="s">
        <v>230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132.78296640718034</v>
      </c>
      <c r="AO156" s="1">
        <v>205.4600147989652</v>
      </c>
      <c r="AP156" s="1">
        <v>39.42682326038576</v>
      </c>
      <c r="AQ156" s="1">
        <v>31.313682629707085</v>
      </c>
      <c r="AR156" s="1">
        <v>13</v>
      </c>
      <c r="AS156" s="1">
        <v>30</v>
      </c>
      <c r="AT156" s="1">
        <v>30</v>
      </c>
      <c r="AU156" s="1">
        <v>15</v>
      </c>
      <c r="AV156" s="1">
        <v>0</v>
      </c>
    </row>
    <row r="157" spans="1:48" x14ac:dyDescent="0.3">
      <c r="A157" s="4">
        <v>410020081</v>
      </c>
      <c r="B157" s="4" t="s">
        <v>242</v>
      </c>
      <c r="C157" s="4" t="str">
        <f>IFERROR(VLOOKUP(Tabela1[[#This Row],[Código]],Cadastro!$A:$J,2,0),"Sem Cadastro")</f>
        <v>ADOÇANTES</v>
      </c>
      <c r="D157" s="4" t="str">
        <f>IFERROR(VLOOKUP(Tabela1[[#This Row],[Código]],Cadastro!$A:$J,3,0),"Sem Cadastro")</f>
        <v>MIX</v>
      </c>
      <c r="E157" s="4" t="str">
        <f>IFERROR(VLOOKUP(Tabela1[[#This Row],[Código]],Cadastro!$A:$J,4,0),"Sem Cadastro")</f>
        <v>MIX</v>
      </c>
      <c r="F157" s="4" t="str">
        <f>IFERROR(VLOOKUP(Tabela1[[#This Row],[Código]],Cadastro!$A:$J,5,0),"Sem Cadastro")</f>
        <v>DESCONTINUADO</v>
      </c>
      <c r="G157" s="5" t="s">
        <v>59</v>
      </c>
      <c r="H157" s="1">
        <v>1567.9999999999998</v>
      </c>
      <c r="I157" s="1">
        <v>380.0102459766465</v>
      </c>
      <c r="J157" s="1">
        <v>374.07596719744765</v>
      </c>
      <c r="K157" s="1">
        <v>420</v>
      </c>
      <c r="L157" s="1">
        <v>180.51926557271372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</row>
    <row r="158" spans="1:48" x14ac:dyDescent="0.3">
      <c r="A158" s="4">
        <v>410321690</v>
      </c>
      <c r="B158" s="4" t="s">
        <v>243</v>
      </c>
      <c r="C158" s="4" t="str">
        <f>IFERROR(VLOOKUP(Tabela1[[#This Row],[Código]],Cadastro!$A:$J,2,0),"Sem Cadastro")</f>
        <v>ALIMENTOS</v>
      </c>
      <c r="D158" s="4" t="str">
        <f>IFERROR(VLOOKUP(Tabela1[[#This Row],[Código]],Cadastro!$A:$J,3,0),"Sem Cadastro")</f>
        <v>OUTROS</v>
      </c>
      <c r="E158" s="4" t="str">
        <f>IFERROR(VLOOKUP(Tabela1[[#This Row],[Código]],Cadastro!$A:$J,4,0),"Sem Cadastro")</f>
        <v>CREME DE AVELÃ</v>
      </c>
      <c r="F158" s="4" t="str">
        <f>IFERROR(VLOOKUP(Tabela1[[#This Row],[Código]],Cadastro!$A:$J,5,0),"Sem Cadastro")</f>
        <v>DESCONTINUADO</v>
      </c>
      <c r="G158" s="5" t="s">
        <v>244</v>
      </c>
      <c r="H158" s="1">
        <v>367.00000000000006</v>
      </c>
      <c r="I158" s="1">
        <v>312.46666666666681</v>
      </c>
      <c r="J158" s="1">
        <v>392.24307786021132</v>
      </c>
      <c r="K158" s="1">
        <v>341</v>
      </c>
      <c r="L158" s="1">
        <v>252.72697180179918</v>
      </c>
      <c r="M158" s="1">
        <v>356</v>
      </c>
      <c r="N158" s="1">
        <v>238.5</v>
      </c>
      <c r="O158" s="1">
        <v>362.69333333333327</v>
      </c>
      <c r="P158" s="1">
        <v>367.33777777777766</v>
      </c>
      <c r="Q158" s="1">
        <v>330.79803455584255</v>
      </c>
      <c r="R158" s="1">
        <v>325.51009367227385</v>
      </c>
      <c r="S158" s="1">
        <v>251</v>
      </c>
      <c r="T158" s="1">
        <v>250</v>
      </c>
      <c r="U158" s="1">
        <v>280.00000000000006</v>
      </c>
      <c r="V158" s="1">
        <v>363.82</v>
      </c>
      <c r="W158" s="1">
        <v>340</v>
      </c>
      <c r="X158" s="1">
        <v>250</v>
      </c>
      <c r="Y158" s="1">
        <v>225</v>
      </c>
      <c r="Z158" s="1">
        <v>210</v>
      </c>
      <c r="AA158" s="1">
        <v>210</v>
      </c>
      <c r="AB158" s="1">
        <v>300</v>
      </c>
      <c r="AC158" s="1">
        <v>196</v>
      </c>
      <c r="AD158" s="1">
        <v>200</v>
      </c>
      <c r="AE158" s="1">
        <v>180</v>
      </c>
      <c r="AF158" s="1">
        <v>193</v>
      </c>
      <c r="AG158" s="1">
        <v>130.85322000000005</v>
      </c>
      <c r="AH158" s="1">
        <v>190</v>
      </c>
      <c r="AI158" s="1">
        <v>250.00000000000003</v>
      </c>
      <c r="AJ158" s="1">
        <v>323.48705468768776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</row>
    <row r="159" spans="1:48" x14ac:dyDescent="0.3">
      <c r="A159" s="4">
        <v>410473405</v>
      </c>
      <c r="B159" s="4" t="s">
        <v>245</v>
      </c>
      <c r="C159" s="4" t="str">
        <f>IFERROR(VLOOKUP(Tabela1[[#This Row],[Código]],Cadastro!$A:$J,2,0),"Sem Cadastro")</f>
        <v>ALIMENTOS</v>
      </c>
      <c r="D159" s="4" t="str">
        <f>IFERROR(VLOOKUP(Tabela1[[#This Row],[Código]],Cadastro!$A:$J,3,0),"Sem Cadastro")</f>
        <v>SAZONAL</v>
      </c>
      <c r="E159" s="4" t="str">
        <f>IFERROR(VLOOKUP(Tabela1[[#This Row],[Código]],Cadastro!$A:$J,4,0),"Sem Cadastro")</f>
        <v>OVO DE PÁSCOA</v>
      </c>
      <c r="F159" s="4" t="str">
        <f>IFERROR(VLOOKUP(Tabela1[[#This Row],[Código]],Cadastro!$A:$J,5,0),"Sem Cadastro")</f>
        <v>DESCONTINUADO</v>
      </c>
      <c r="G159" s="5" t="s">
        <v>246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1000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</row>
    <row r="160" spans="1:48" x14ac:dyDescent="0.3">
      <c r="A160" s="4">
        <v>410476905</v>
      </c>
      <c r="B160" s="4" t="s">
        <v>247</v>
      </c>
      <c r="C160" s="4" t="str">
        <f>IFERROR(VLOOKUP(Tabela1[[#This Row],[Código]],Cadastro!$A:$J,2,0),"Sem Cadastro")</f>
        <v>ALIMENTOS</v>
      </c>
      <c r="D160" s="4" t="str">
        <f>IFERROR(VLOOKUP(Tabela1[[#This Row],[Código]],Cadastro!$A:$J,3,0),"Sem Cadastro")</f>
        <v>SAZONAL</v>
      </c>
      <c r="E160" s="4" t="str">
        <f>IFERROR(VLOOKUP(Tabela1[[#This Row],[Código]],Cadastro!$A:$J,4,0),"Sem Cadastro")</f>
        <v>OVO DE PÁSCOA</v>
      </c>
      <c r="F160" s="4" t="str">
        <f>IFERROR(VLOOKUP(Tabela1[[#This Row],[Código]],Cadastro!$A:$J,5,0),"Sem Cadastro")</f>
        <v>DESCONTINUADO</v>
      </c>
      <c r="G160" s="5" t="s">
        <v>246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1000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</row>
    <row r="161" spans="1:48" x14ac:dyDescent="0.3">
      <c r="A161" s="4">
        <v>410316972</v>
      </c>
      <c r="B161" s="4" t="s">
        <v>248</v>
      </c>
      <c r="C161" s="4" t="str">
        <f>IFERROR(VLOOKUP(Tabela1[[#This Row],[Código]],Cadastro!$A:$J,2,0),"Sem Cadastro")</f>
        <v>ALIMENTOS</v>
      </c>
      <c r="D161" s="4" t="str">
        <f>IFERROR(VLOOKUP(Tabela1[[#This Row],[Código]],Cadastro!$A:$J,3,0),"Sem Cadastro")</f>
        <v>SAZONAL</v>
      </c>
      <c r="E161" s="4" t="str">
        <f>IFERROR(VLOOKUP(Tabela1[[#This Row],[Código]],Cadastro!$A:$J,4,0),"Sem Cadastro")</f>
        <v>OVO DE PÁSCOA</v>
      </c>
      <c r="F161" s="4" t="str">
        <f>IFERROR(VLOOKUP(Tabela1[[#This Row],[Código]],Cadastro!$A:$J,5,0),"Sem Cadastro")</f>
        <v>DESCONTINUADO</v>
      </c>
      <c r="G161" s="5" t="s">
        <v>246</v>
      </c>
      <c r="H161" s="1">
        <v>1875</v>
      </c>
      <c r="I161" s="1">
        <v>1875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750</v>
      </c>
      <c r="U161" s="1">
        <v>1500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</row>
    <row r="162" spans="1:48" x14ac:dyDescent="0.3">
      <c r="A162" s="4">
        <v>410316572</v>
      </c>
      <c r="B162" s="4" t="s">
        <v>249</v>
      </c>
      <c r="C162" s="4" t="str">
        <f>IFERROR(VLOOKUP(Tabela1[[#This Row],[Código]],Cadastro!$A:$J,2,0),"Sem Cadastro")</f>
        <v>ALIMENTOS</v>
      </c>
      <c r="D162" s="4" t="str">
        <f>IFERROR(VLOOKUP(Tabela1[[#This Row],[Código]],Cadastro!$A:$J,3,0),"Sem Cadastro")</f>
        <v>SAZONAL</v>
      </c>
      <c r="E162" s="4" t="str">
        <f>IFERROR(VLOOKUP(Tabela1[[#This Row],[Código]],Cadastro!$A:$J,4,0),"Sem Cadastro")</f>
        <v>OVO DE PÁSCOA</v>
      </c>
      <c r="F162" s="4" t="str">
        <f>IFERROR(VLOOKUP(Tabela1[[#This Row],[Código]],Cadastro!$A:$J,5,0),"Sem Cadastro")</f>
        <v>DESCONTINUADO</v>
      </c>
      <c r="G162" s="5" t="s">
        <v>246</v>
      </c>
      <c r="H162" s="1">
        <v>1125</v>
      </c>
      <c r="I162" s="1">
        <v>1125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375</v>
      </c>
      <c r="U162" s="1">
        <v>750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</row>
    <row r="163" spans="1:48" x14ac:dyDescent="0.3">
      <c r="A163" s="4">
        <v>410113371</v>
      </c>
      <c r="B163" s="4" t="s">
        <v>250</v>
      </c>
      <c r="C163" s="4" t="str">
        <f>IFERROR(VLOOKUP(Tabela1[[#This Row],[Código]],Cadastro!$A:$J,2,0),"Sem Cadastro")</f>
        <v>ALIMENTOS</v>
      </c>
      <c r="D163" s="4" t="str">
        <f>IFERROR(VLOOKUP(Tabela1[[#This Row],[Código]],Cadastro!$A:$J,3,0),"Sem Cadastro")</f>
        <v>SAZONAL</v>
      </c>
      <c r="E163" s="4" t="str">
        <f>IFERROR(VLOOKUP(Tabela1[[#This Row],[Código]],Cadastro!$A:$J,4,0),"Sem Cadastro")</f>
        <v>OVO DE PÁSCOA</v>
      </c>
      <c r="F163" s="4" t="str">
        <f>IFERROR(VLOOKUP(Tabela1[[#This Row],[Código]],Cadastro!$A:$J,5,0),"Sem Cadastro")</f>
        <v>DESCONTINUADO</v>
      </c>
      <c r="G163" s="5" t="s">
        <v>246</v>
      </c>
      <c r="H163" s="1">
        <v>1125</v>
      </c>
      <c r="I163" s="1">
        <v>1125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563</v>
      </c>
      <c r="U163" s="1">
        <v>1125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</row>
    <row r="164" spans="1:48" x14ac:dyDescent="0.3">
      <c r="A164" s="4">
        <v>410313672</v>
      </c>
      <c r="B164" s="4" t="s">
        <v>251</v>
      </c>
      <c r="C164" s="4" t="str">
        <f>IFERROR(VLOOKUP(Tabela1[[#This Row],[Código]],Cadastro!$A:$J,2,0),"Sem Cadastro")</f>
        <v>ALIMENTOS</v>
      </c>
      <c r="D164" s="4" t="str">
        <f>IFERROR(VLOOKUP(Tabela1[[#This Row],[Código]],Cadastro!$A:$J,3,0),"Sem Cadastro")</f>
        <v>SAZONAL</v>
      </c>
      <c r="E164" s="4" t="str">
        <f>IFERROR(VLOOKUP(Tabela1[[#This Row],[Código]],Cadastro!$A:$J,4,0),"Sem Cadastro")</f>
        <v>OVO DE PÁSCOA</v>
      </c>
      <c r="F164" s="4" t="str">
        <f>IFERROR(VLOOKUP(Tabela1[[#This Row],[Código]],Cadastro!$A:$J,5,0),"Sem Cadastro")</f>
        <v>DESCONTINUADO</v>
      </c>
      <c r="G164" s="5" t="s">
        <v>246</v>
      </c>
      <c r="H164" s="1">
        <v>1125</v>
      </c>
      <c r="I164" s="1">
        <v>1125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563</v>
      </c>
      <c r="U164" s="1">
        <v>1125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</row>
    <row r="165" spans="1:48" x14ac:dyDescent="0.3">
      <c r="A165" s="4">
        <v>410313572</v>
      </c>
      <c r="B165" s="4" t="s">
        <v>252</v>
      </c>
      <c r="C165" s="4" t="str">
        <f>IFERROR(VLOOKUP(Tabela1[[#This Row],[Código]],Cadastro!$A:$J,2,0),"Sem Cadastro")</f>
        <v>ALIMENTOS</v>
      </c>
      <c r="D165" s="4" t="str">
        <f>IFERROR(VLOOKUP(Tabela1[[#This Row],[Código]],Cadastro!$A:$J,3,0),"Sem Cadastro")</f>
        <v>SAZONAL</v>
      </c>
      <c r="E165" s="4" t="str">
        <f>IFERROR(VLOOKUP(Tabela1[[#This Row],[Código]],Cadastro!$A:$J,4,0),"Sem Cadastro")</f>
        <v>OVO DE PÁSCOA</v>
      </c>
      <c r="F165" s="4" t="str">
        <f>IFERROR(VLOOKUP(Tabela1[[#This Row],[Código]],Cadastro!$A:$J,5,0),"Sem Cadastro")</f>
        <v>DESCONTINUADO</v>
      </c>
      <c r="G165" s="5" t="s">
        <v>246</v>
      </c>
      <c r="H165" s="1">
        <v>1125</v>
      </c>
      <c r="I165" s="1">
        <v>1125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375</v>
      </c>
      <c r="U165" s="1">
        <v>750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</row>
    <row r="166" spans="1:48" x14ac:dyDescent="0.3">
      <c r="A166" s="4">
        <v>410313472</v>
      </c>
      <c r="B166" s="4" t="s">
        <v>253</v>
      </c>
      <c r="C166" s="4" t="str">
        <f>IFERROR(VLOOKUP(Tabela1[[#This Row],[Código]],Cadastro!$A:$J,2,0),"Sem Cadastro")</f>
        <v>ALIMENTOS</v>
      </c>
      <c r="D166" s="4" t="str">
        <f>IFERROR(VLOOKUP(Tabela1[[#This Row],[Código]],Cadastro!$A:$J,3,0),"Sem Cadastro")</f>
        <v>SAZONAL</v>
      </c>
      <c r="E166" s="4" t="str">
        <f>IFERROR(VLOOKUP(Tabela1[[#This Row],[Código]],Cadastro!$A:$J,4,0),"Sem Cadastro")</f>
        <v>OVO DE PÁSCOA</v>
      </c>
      <c r="F166" s="4" t="str">
        <f>IFERROR(VLOOKUP(Tabela1[[#This Row],[Código]],Cadastro!$A:$J,5,0),"Sem Cadastro")</f>
        <v>DESCONTINUADO</v>
      </c>
      <c r="G166" s="5" t="s">
        <v>246</v>
      </c>
      <c r="H166" s="1">
        <v>2250</v>
      </c>
      <c r="I166" s="1">
        <v>2250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1125</v>
      </c>
      <c r="U166" s="1">
        <v>2250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</row>
    <row r="167" spans="1:48" x14ac:dyDescent="0.3">
      <c r="A167" s="4">
        <v>410060404</v>
      </c>
      <c r="B167" s="4" t="s">
        <v>254</v>
      </c>
      <c r="C167" s="4" t="str">
        <f>IFERROR(VLOOKUP(Tabela1[[#This Row],[Código]],Cadastro!$A:$J,2,0),"Sem Cadastro")</f>
        <v>ALIMENTOS</v>
      </c>
      <c r="D167" s="4" t="str">
        <f>IFERROR(VLOOKUP(Tabela1[[#This Row],[Código]],Cadastro!$A:$J,3,0),"Sem Cadastro")</f>
        <v>SHAKE</v>
      </c>
      <c r="E167" s="4" t="str">
        <f>IFERROR(VLOOKUP(Tabela1[[#This Row],[Código]],Cadastro!$A:$J,4,0),"Sem Cadastro")</f>
        <v>SHAKE</v>
      </c>
      <c r="F167" s="4" t="str">
        <f>IFERROR(VLOOKUP(Tabela1[[#This Row],[Código]],Cadastro!$A:$J,5,0),"Sem Cadastro")</f>
        <v>DESCONTINUADO</v>
      </c>
      <c r="G167" s="5" t="s">
        <v>162</v>
      </c>
      <c r="H167" s="1">
        <v>237.77092389812435</v>
      </c>
      <c r="I167" s="1">
        <v>272.55079317049945</v>
      </c>
      <c r="J167" s="1">
        <v>242.5785421492638</v>
      </c>
      <c r="K167" s="1">
        <v>247</v>
      </c>
      <c r="L167" s="1">
        <v>262.75581988917213</v>
      </c>
      <c r="M167" s="1">
        <v>300</v>
      </c>
      <c r="N167" s="1">
        <v>361.33333333333337</v>
      </c>
      <c r="O167" s="1">
        <v>300</v>
      </c>
      <c r="P167" s="1">
        <v>349.99999999999994</v>
      </c>
      <c r="Q167" s="1">
        <v>275.66502879653547</v>
      </c>
      <c r="R167" s="1">
        <v>303.80942076078895</v>
      </c>
      <c r="S167" s="1">
        <v>240</v>
      </c>
      <c r="T167" s="1">
        <v>150</v>
      </c>
      <c r="U167" s="1">
        <v>150</v>
      </c>
      <c r="V167" s="1">
        <v>292</v>
      </c>
      <c r="W167" s="1">
        <v>250</v>
      </c>
      <c r="X167" s="1">
        <v>190</v>
      </c>
      <c r="Y167" s="1">
        <v>190</v>
      </c>
      <c r="Z167" s="1">
        <v>190</v>
      </c>
      <c r="AA167" s="1">
        <v>190</v>
      </c>
      <c r="AB167" s="1">
        <v>175</v>
      </c>
      <c r="AC167" s="1">
        <v>216</v>
      </c>
      <c r="AD167" s="1">
        <v>200</v>
      </c>
      <c r="AE167" s="1">
        <v>150</v>
      </c>
      <c r="AF167" s="1">
        <v>188</v>
      </c>
      <c r="AG167" s="1">
        <v>130.86734999999993</v>
      </c>
      <c r="AH167" s="1">
        <v>135.03510000000003</v>
      </c>
      <c r="AI167" s="1">
        <v>189.99999999999994</v>
      </c>
      <c r="AJ167" s="1">
        <v>275.68737680491932</v>
      </c>
      <c r="AK167" s="1">
        <v>323.76215206180211</v>
      </c>
      <c r="AL167" s="1">
        <v>283.29308314950742</v>
      </c>
      <c r="AM167" s="1">
        <v>283.44333459275924</v>
      </c>
      <c r="AN167" s="1">
        <v>266.54146166954791</v>
      </c>
      <c r="AO167" s="1">
        <v>264.00682741170959</v>
      </c>
      <c r="AP167" s="1">
        <v>322.83508011389745</v>
      </c>
      <c r="AQ167" s="1">
        <v>220.3516670094433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</row>
    <row r="168" spans="1:48" x14ac:dyDescent="0.3">
      <c r="A168" s="4">
        <v>410066304</v>
      </c>
      <c r="B168" s="4" t="s">
        <v>255</v>
      </c>
      <c r="C168" s="4" t="str">
        <f>IFERROR(VLOOKUP(Tabela1[[#This Row],[Código]],Cadastro!$A:$J,2,0),"Sem Cadastro")</f>
        <v>ALIMENTOS</v>
      </c>
      <c r="D168" s="4" t="str">
        <f>IFERROR(VLOOKUP(Tabela1[[#This Row],[Código]],Cadastro!$A:$J,3,0),"Sem Cadastro")</f>
        <v>SHAKE</v>
      </c>
      <c r="E168" s="4" t="str">
        <f>IFERROR(VLOOKUP(Tabela1[[#This Row],[Código]],Cadastro!$A:$J,4,0),"Sem Cadastro")</f>
        <v>SHAKE</v>
      </c>
      <c r="F168" s="4" t="str">
        <f>IFERROR(VLOOKUP(Tabela1[[#This Row],[Código]],Cadastro!$A:$J,5,0),"Sem Cadastro")</f>
        <v>DESCONTINUADO</v>
      </c>
      <c r="G168" s="5" t="s">
        <v>162</v>
      </c>
      <c r="H168" s="1">
        <v>146.73250709028397</v>
      </c>
      <c r="I168" s="1">
        <v>186.94720285911222</v>
      </c>
      <c r="J168" s="1">
        <v>131.03195033698194</v>
      </c>
      <c r="K168" s="1">
        <v>123</v>
      </c>
      <c r="L168" s="1">
        <v>135.38944917953529</v>
      </c>
      <c r="M168" s="1">
        <v>175</v>
      </c>
      <c r="N168" s="1">
        <v>99.5</v>
      </c>
      <c r="O168" s="1">
        <v>140</v>
      </c>
      <c r="P168" s="1">
        <v>160</v>
      </c>
      <c r="Q168" s="1">
        <v>165.39901727792127</v>
      </c>
      <c r="R168" s="1">
        <v>156.24484496269147</v>
      </c>
      <c r="S168" s="1">
        <v>142</v>
      </c>
      <c r="T168" s="1">
        <v>100</v>
      </c>
      <c r="U168" s="1">
        <v>100</v>
      </c>
      <c r="V168" s="1">
        <v>167</v>
      </c>
      <c r="W168" s="1">
        <v>150</v>
      </c>
      <c r="X168" s="1">
        <v>150</v>
      </c>
      <c r="Y168" s="1">
        <v>250</v>
      </c>
      <c r="Z168" s="1">
        <v>264</v>
      </c>
      <c r="AA168" s="1">
        <v>264</v>
      </c>
      <c r="AB168" s="1">
        <v>150</v>
      </c>
      <c r="AC168" s="1">
        <v>147</v>
      </c>
      <c r="AD168" s="1">
        <v>135</v>
      </c>
      <c r="AE168" s="1">
        <v>110</v>
      </c>
      <c r="AF168" s="1">
        <v>108</v>
      </c>
      <c r="AG168" s="1">
        <v>179.766705</v>
      </c>
      <c r="AH168" s="1">
        <v>110.08953000000005</v>
      </c>
      <c r="AI168" s="1">
        <v>108.73040000000003</v>
      </c>
      <c r="AJ168" s="1">
        <v>152.86964920237227</v>
      </c>
      <c r="AK168" s="1">
        <v>82.435775811645328</v>
      </c>
      <c r="AL168" s="1">
        <v>113.71796212383806</v>
      </c>
      <c r="AM168" s="1">
        <v>118.07086660448395</v>
      </c>
      <c r="AN168" s="1">
        <v>108.27456490538761</v>
      </c>
      <c r="AO168" s="1">
        <v>48.575648485634915</v>
      </c>
      <c r="AP168" s="1">
        <v>58.328275754460087</v>
      </c>
      <c r="AQ168" s="1">
        <v>38.960539188976831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</row>
    <row r="169" spans="1:48" x14ac:dyDescent="0.3">
      <c r="A169" s="4">
        <v>410060304</v>
      </c>
      <c r="B169" s="4" t="s">
        <v>256</v>
      </c>
      <c r="C169" s="4" t="str">
        <f>IFERROR(VLOOKUP(Tabela1[[#This Row],[Código]],Cadastro!$A:$J,2,0),"Sem Cadastro")</f>
        <v>ALIMENTOS</v>
      </c>
      <c r="D169" s="4" t="str">
        <f>IFERROR(VLOOKUP(Tabela1[[#This Row],[Código]],Cadastro!$A:$J,3,0),"Sem Cadastro")</f>
        <v>SHAKE</v>
      </c>
      <c r="E169" s="4" t="str">
        <f>IFERROR(VLOOKUP(Tabela1[[#This Row],[Código]],Cadastro!$A:$J,4,0),"Sem Cadastro")</f>
        <v>SHAKE</v>
      </c>
      <c r="F169" s="4" t="str">
        <f>IFERROR(VLOOKUP(Tabela1[[#This Row],[Código]],Cadastro!$A:$J,5,0),"Sem Cadastro")</f>
        <v>DESCONTINUADO</v>
      </c>
      <c r="G169" s="5" t="s">
        <v>162</v>
      </c>
      <c r="H169" s="1">
        <v>366.29574762684035</v>
      </c>
      <c r="I169" s="1">
        <v>419.87148786967452</v>
      </c>
      <c r="J169" s="1">
        <v>342.23027858147236</v>
      </c>
      <c r="K169" s="1">
        <v>376</v>
      </c>
      <c r="L169" s="1">
        <v>456.31258797547076</v>
      </c>
      <c r="M169" s="1">
        <v>290</v>
      </c>
      <c r="N169" s="1">
        <v>414.25</v>
      </c>
      <c r="O169" s="1">
        <v>300</v>
      </c>
      <c r="P169" s="1">
        <v>350</v>
      </c>
      <c r="Q169" s="1">
        <v>298.63711452958006</v>
      </c>
      <c r="R169" s="1">
        <v>368.91143949524371</v>
      </c>
      <c r="S169" s="1">
        <v>260</v>
      </c>
      <c r="T169" s="1">
        <v>250</v>
      </c>
      <c r="U169" s="1">
        <v>325</v>
      </c>
      <c r="V169" s="1">
        <v>408</v>
      </c>
      <c r="W169" s="1">
        <v>400</v>
      </c>
      <c r="X169" s="1">
        <v>450</v>
      </c>
      <c r="Y169" s="1">
        <v>800</v>
      </c>
      <c r="Z169" s="1">
        <v>647</v>
      </c>
      <c r="AA169" s="1">
        <v>647</v>
      </c>
      <c r="AB169" s="1">
        <v>300</v>
      </c>
      <c r="AC169" s="1">
        <v>245</v>
      </c>
      <c r="AD169" s="1">
        <v>250</v>
      </c>
      <c r="AE169" s="1">
        <v>225</v>
      </c>
      <c r="AF169" s="1">
        <v>242</v>
      </c>
      <c r="AG169" s="1">
        <v>335.17930000000007</v>
      </c>
      <c r="AH169" s="1">
        <v>345.85380000000004</v>
      </c>
      <c r="AI169" s="1">
        <v>340.00000000000028</v>
      </c>
      <c r="AJ169" s="1">
        <v>400.17735097553594</v>
      </c>
      <c r="AK169" s="1">
        <v>429.02040628536446</v>
      </c>
      <c r="AL169" s="1">
        <v>413.52696943210134</v>
      </c>
      <c r="AM169" s="1">
        <v>414.09733094188357</v>
      </c>
      <c r="AN169" s="1">
        <v>400.34384884558159</v>
      </c>
      <c r="AO169" s="1">
        <v>406.36573323223109</v>
      </c>
      <c r="AP169" s="1">
        <v>38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</row>
    <row r="170" spans="1:48" x14ac:dyDescent="0.3">
      <c r="A170" s="4">
        <v>410060204</v>
      </c>
      <c r="B170" s="4" t="s">
        <v>257</v>
      </c>
      <c r="C170" s="4" t="str">
        <f>IFERROR(VLOOKUP(Tabela1[[#This Row],[Código]],Cadastro!$A:$J,2,0),"Sem Cadastro")</f>
        <v>ALIMENTOS</v>
      </c>
      <c r="D170" s="4" t="str">
        <f>IFERROR(VLOOKUP(Tabela1[[#This Row],[Código]],Cadastro!$A:$J,3,0),"Sem Cadastro")</f>
        <v>SHAKE</v>
      </c>
      <c r="E170" s="4" t="str">
        <f>IFERROR(VLOOKUP(Tabela1[[#This Row],[Código]],Cadastro!$A:$J,4,0),"Sem Cadastro")</f>
        <v>SHAKE</v>
      </c>
      <c r="F170" s="4" t="str">
        <f>IFERROR(VLOOKUP(Tabela1[[#This Row],[Código]],Cadastro!$A:$J,5,0),"Sem Cadastro")</f>
        <v>DESCONTINUADO</v>
      </c>
      <c r="G170" s="5" t="s">
        <v>162</v>
      </c>
      <c r="H170" s="1">
        <v>457.3341644346807</v>
      </c>
      <c r="I170" s="1">
        <v>477.85821031952673</v>
      </c>
      <c r="J170" s="1">
        <v>438.78497729258919</v>
      </c>
      <c r="K170" s="1">
        <v>480</v>
      </c>
      <c r="L170" s="1">
        <v>508.46259802981029</v>
      </c>
      <c r="M170" s="1">
        <v>450</v>
      </c>
      <c r="N170" s="1">
        <v>494.5</v>
      </c>
      <c r="O170" s="1">
        <v>400</v>
      </c>
      <c r="P170" s="1">
        <v>450</v>
      </c>
      <c r="Q170" s="1">
        <v>367.5533717287139</v>
      </c>
      <c r="R170" s="1">
        <v>390.61211240672867</v>
      </c>
      <c r="S170" s="1">
        <v>341</v>
      </c>
      <c r="T170" s="1">
        <v>350</v>
      </c>
      <c r="U170" s="1">
        <v>400</v>
      </c>
      <c r="V170" s="1">
        <v>470</v>
      </c>
      <c r="W170" s="1">
        <v>500</v>
      </c>
      <c r="X170" s="1">
        <v>500</v>
      </c>
      <c r="Y170" s="1">
        <v>600</v>
      </c>
      <c r="Z170" s="1">
        <v>516</v>
      </c>
      <c r="AA170" s="1">
        <v>516</v>
      </c>
      <c r="AB170" s="1">
        <v>400</v>
      </c>
      <c r="AC170" s="1">
        <v>343</v>
      </c>
      <c r="AD170" s="1">
        <v>360</v>
      </c>
      <c r="AE170" s="1">
        <v>300</v>
      </c>
      <c r="AF170" s="1">
        <v>375</v>
      </c>
      <c r="AG170" s="1">
        <v>348.16084500000011</v>
      </c>
      <c r="AH170" s="1">
        <v>359.24876999999992</v>
      </c>
      <c r="AI170" s="1">
        <v>380.0000000000004</v>
      </c>
      <c r="AJ170" s="1">
        <v>501.48690692129583</v>
      </c>
      <c r="AK170" s="1">
        <v>505.06389564759644</v>
      </c>
      <c r="AL170" s="1">
        <v>504.00842593674702</v>
      </c>
      <c r="AM170" s="1">
        <v>517.98024377439299</v>
      </c>
      <c r="AN170" s="1">
        <v>473.15033904580991</v>
      </c>
      <c r="AO170" s="1">
        <v>435.96724463499777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</row>
    <row r="171" spans="1:48" x14ac:dyDescent="0.3">
      <c r="A171" s="4">
        <v>410060104</v>
      </c>
      <c r="B171" s="4" t="s">
        <v>258</v>
      </c>
      <c r="C171" s="4" t="str">
        <f>IFERROR(VLOOKUP(Tabela1[[#This Row],[Código]],Cadastro!$A:$J,2,0),"Sem Cadastro")</f>
        <v>ALIMENTOS</v>
      </c>
      <c r="D171" s="4" t="str">
        <f>IFERROR(VLOOKUP(Tabela1[[#This Row],[Código]],Cadastro!$A:$J,3,0),"Sem Cadastro")</f>
        <v>SHAKE</v>
      </c>
      <c r="E171" s="4" t="str">
        <f>IFERROR(VLOOKUP(Tabela1[[#This Row],[Código]],Cadastro!$A:$J,4,0),"Sem Cadastro")</f>
        <v>SHAKE</v>
      </c>
      <c r="F171" s="4" t="str">
        <f>IFERROR(VLOOKUP(Tabela1[[#This Row],[Código]],Cadastro!$A:$J,5,0),"Sem Cadastro")</f>
        <v>DESCONTINUADO</v>
      </c>
      <c r="G171" s="5" t="s">
        <v>162</v>
      </c>
      <c r="H171" s="1">
        <v>343.80390347431501</v>
      </c>
      <c r="I171" s="1">
        <v>332.74803820878759</v>
      </c>
      <c r="J171" s="1">
        <v>309.93452113687925</v>
      </c>
      <c r="K171" s="1">
        <v>357</v>
      </c>
      <c r="L171" s="1">
        <v>308.88852109108791</v>
      </c>
      <c r="M171" s="1">
        <v>220</v>
      </c>
      <c r="N171" s="1">
        <v>284.75</v>
      </c>
      <c r="O171" s="1">
        <v>250</v>
      </c>
      <c r="P171" s="1">
        <v>250</v>
      </c>
      <c r="Q171" s="1">
        <v>252.69294306349082</v>
      </c>
      <c r="R171" s="1">
        <v>251.72780577322513</v>
      </c>
      <c r="S171" s="1">
        <v>195</v>
      </c>
      <c r="T171" s="1">
        <v>220</v>
      </c>
      <c r="U171" s="1">
        <v>300</v>
      </c>
      <c r="V171" s="1">
        <v>365</v>
      </c>
      <c r="W171" s="1">
        <v>350</v>
      </c>
      <c r="X171" s="1">
        <v>400</v>
      </c>
      <c r="Y171" s="1">
        <v>550</v>
      </c>
      <c r="Z171" s="1">
        <v>457</v>
      </c>
      <c r="AA171" s="1">
        <v>457</v>
      </c>
      <c r="AB171" s="1">
        <v>300</v>
      </c>
      <c r="AC171" s="1">
        <v>245</v>
      </c>
      <c r="AD171" s="1">
        <v>250</v>
      </c>
      <c r="AE171" s="1">
        <v>180</v>
      </c>
      <c r="AF171" s="1">
        <v>215</v>
      </c>
      <c r="AG171" s="1">
        <v>259.90408000000002</v>
      </c>
      <c r="AH171" s="1">
        <v>268.18128000000002</v>
      </c>
      <c r="AI171" s="1">
        <v>250.00000000000003</v>
      </c>
      <c r="AJ171" s="1">
        <v>304.8199294005716</v>
      </c>
      <c r="AK171" s="1">
        <v>306.38487883144325</v>
      </c>
      <c r="AL171" s="1">
        <v>316.05042174410994</v>
      </c>
      <c r="AM171" s="1">
        <v>309.46199894304709</v>
      </c>
      <c r="AN171" s="1">
        <v>307.45363735740546</v>
      </c>
      <c r="AO171" s="1">
        <v>221.77640858395844</v>
      </c>
      <c r="AP171" s="1">
        <v>79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</row>
    <row r="172" spans="1:48" x14ac:dyDescent="0.3">
      <c r="A172" s="4">
        <v>410362187</v>
      </c>
      <c r="B172" s="4" t="s">
        <v>259</v>
      </c>
      <c r="C172" s="4" t="str">
        <f>IFERROR(VLOOKUP(Tabela1[[#This Row],[Código]],Cadastro!$A:$J,2,0),"Sem Cadastro")</f>
        <v>ALIMENTOS</v>
      </c>
      <c r="D172" s="4" t="str">
        <f>IFERROR(VLOOKUP(Tabela1[[#This Row],[Código]],Cadastro!$A:$J,3,0),"Sem Cadastro")</f>
        <v>SOBREMESAS EM PÓ</v>
      </c>
      <c r="E172" s="4" t="str">
        <f>IFERROR(VLOOKUP(Tabela1[[#This Row],[Código]],Cadastro!$A:$J,4,0),"Sem Cadastro")</f>
        <v>MISTURA PARA BOLO</v>
      </c>
      <c r="F172" s="4" t="str">
        <f>IFERROR(VLOOKUP(Tabela1[[#This Row],[Código]],Cadastro!$A:$J,5,0),"Sem Cadastro")</f>
        <v>DESCONTINUADO</v>
      </c>
      <c r="G172" s="5" t="s">
        <v>148</v>
      </c>
      <c r="H172" s="1">
        <v>251.69444646873535</v>
      </c>
      <c r="I172" s="1">
        <v>301.42440437033304</v>
      </c>
      <c r="J172" s="1">
        <v>261.42817212923956</v>
      </c>
      <c r="K172" s="1">
        <v>323</v>
      </c>
      <c r="L172" s="1">
        <v>369.06160961532578</v>
      </c>
      <c r="M172" s="1">
        <v>275</v>
      </c>
      <c r="N172" s="1">
        <v>238.49999999999997</v>
      </c>
      <c r="O172" s="1">
        <v>390.51</v>
      </c>
      <c r="P172" s="1">
        <v>400</v>
      </c>
      <c r="Q172" s="1">
        <v>413.49754319480314</v>
      </c>
      <c r="R172" s="1">
        <v>390.61211240672867</v>
      </c>
      <c r="S172" s="1">
        <v>336</v>
      </c>
      <c r="T172" s="1">
        <v>270</v>
      </c>
      <c r="U172" s="1">
        <v>315</v>
      </c>
      <c r="V172" s="1">
        <v>409.44000000000011</v>
      </c>
      <c r="W172" s="1">
        <v>350</v>
      </c>
      <c r="X172" s="1">
        <v>300</v>
      </c>
      <c r="Y172" s="1">
        <v>300</v>
      </c>
      <c r="Z172" s="1">
        <v>300</v>
      </c>
      <c r="AA172" s="1">
        <v>300</v>
      </c>
      <c r="AB172" s="1">
        <v>275</v>
      </c>
      <c r="AC172" s="1">
        <v>252</v>
      </c>
      <c r="AD172" s="1">
        <v>235</v>
      </c>
      <c r="AE172" s="1">
        <v>200</v>
      </c>
      <c r="AF172" s="1">
        <v>161</v>
      </c>
      <c r="AG172" s="1">
        <v>191.68993499999999</v>
      </c>
      <c r="AH172" s="1">
        <v>197.79470999999995</v>
      </c>
      <c r="AI172" s="1">
        <v>150.00000000000026</v>
      </c>
      <c r="AJ172" s="1">
        <v>186.53314163912702</v>
      </c>
      <c r="AK172" s="1">
        <v>157.8387664915262</v>
      </c>
      <c r="AL172" s="1">
        <v>206.02391800980018</v>
      </c>
      <c r="AM172" s="1">
        <v>159.67117705843646</v>
      </c>
      <c r="AN172" s="1">
        <v>177.49408897874318</v>
      </c>
      <c r="AO172" s="1">
        <v>157.22623785763525</v>
      </c>
      <c r="AP172" s="1">
        <v>160.60729974201504</v>
      </c>
      <c r="AQ172" s="1">
        <v>123.61244344245296</v>
      </c>
      <c r="AR172" s="1">
        <v>142</v>
      </c>
      <c r="AS172" s="1">
        <v>170</v>
      </c>
      <c r="AT172" s="1">
        <v>160</v>
      </c>
      <c r="AU172" s="1">
        <v>0</v>
      </c>
      <c r="AV172" s="1">
        <v>0</v>
      </c>
    </row>
    <row r="173" spans="1:48" x14ac:dyDescent="0.3">
      <c r="A173" s="4">
        <v>410270238</v>
      </c>
      <c r="B173" s="4" t="s">
        <v>260</v>
      </c>
      <c r="C173" s="4" t="str">
        <f>IFERROR(VLOOKUP(Tabela1[[#This Row],[Código]],Cadastro!$A:$J,2,0),"Sem Cadastro")</f>
        <v>ALIMENTOS</v>
      </c>
      <c r="D173" s="4" t="str">
        <f>IFERROR(VLOOKUP(Tabela1[[#This Row],[Código]],Cadastro!$A:$J,3,0),"Sem Cadastro")</f>
        <v>SOBREMESAS EM PÓ</v>
      </c>
      <c r="E173" s="4" t="str">
        <f>IFERROR(VLOOKUP(Tabela1[[#This Row],[Código]],Cadastro!$A:$J,4,0),"Sem Cadastro")</f>
        <v>PUDIM</v>
      </c>
      <c r="F173" s="4" t="str">
        <f>IFERROR(VLOOKUP(Tabela1[[#This Row],[Código]],Cadastro!$A:$J,5,0),"Sem Cadastro")</f>
        <v>DESCONTINUADO</v>
      </c>
      <c r="G173" s="5" t="s">
        <v>113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502</v>
      </c>
      <c r="T173" s="1">
        <v>500</v>
      </c>
      <c r="U173" s="1">
        <v>650</v>
      </c>
      <c r="V173" s="1">
        <v>700</v>
      </c>
      <c r="W173" s="1">
        <v>650</v>
      </c>
      <c r="X173" s="1">
        <v>650</v>
      </c>
      <c r="Y173" s="1">
        <v>500</v>
      </c>
      <c r="Z173" s="1">
        <v>658</v>
      </c>
      <c r="AA173" s="1">
        <v>658</v>
      </c>
      <c r="AB173" s="1">
        <v>600</v>
      </c>
      <c r="AC173" s="1">
        <v>604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</row>
    <row r="174" spans="1:48" x14ac:dyDescent="0.3">
      <c r="A174" s="4">
        <v>410014776</v>
      </c>
      <c r="B174" s="4" t="s">
        <v>261</v>
      </c>
      <c r="C174" s="4" t="str">
        <f>IFERROR(VLOOKUP(Tabela1[[#This Row],[Código]],Cadastro!$A:$J,2,0),"Sem Cadastro")</f>
        <v>ADOÇANTES</v>
      </c>
      <c r="D174" s="4" t="str">
        <f>IFERROR(VLOOKUP(Tabela1[[#This Row],[Código]],Cadastro!$A:$J,3,0),"Sem Cadastro")</f>
        <v>STEVIA</v>
      </c>
      <c r="E174" s="4" t="str">
        <f>IFERROR(VLOOKUP(Tabela1[[#This Row],[Código]],Cadastro!$A:$J,4,0),"Sem Cadastro")</f>
        <v>STEVIA LÍQUIDO</v>
      </c>
      <c r="F174" s="4" t="str">
        <f>IFERROR(VLOOKUP(Tabela1[[#This Row],[Código]],Cadastro!$A:$J,5,0),"Sem Cadastro")</f>
        <v>DESCONTINUADO</v>
      </c>
      <c r="G174" s="5" t="s">
        <v>61</v>
      </c>
      <c r="H174" s="1">
        <v>183</v>
      </c>
      <c r="I174" s="1">
        <v>5.8678271218727129</v>
      </c>
      <c r="J174" s="1">
        <v>427.98350936140275</v>
      </c>
      <c r="K174" s="1">
        <v>508</v>
      </c>
      <c r="L174" s="1">
        <v>1048.0146251304766</v>
      </c>
      <c r="M174" s="1">
        <v>250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</row>
    <row r="175" spans="1:48" x14ac:dyDescent="0.3">
      <c r="A175" s="4">
        <v>410014771</v>
      </c>
      <c r="B175" s="4" t="s">
        <v>262</v>
      </c>
      <c r="C175" s="4" t="str">
        <f>IFERROR(VLOOKUP(Tabela1[[#This Row],[Código]],Cadastro!$A:$J,2,0),"Sem Cadastro")</f>
        <v>ADOÇANTES</v>
      </c>
      <c r="D175" s="4" t="str">
        <f>IFERROR(VLOOKUP(Tabela1[[#This Row],[Código]],Cadastro!$A:$J,3,0),"Sem Cadastro")</f>
        <v>STEVIA</v>
      </c>
      <c r="E175" s="4" t="str">
        <f>IFERROR(VLOOKUP(Tabela1[[#This Row],[Código]],Cadastro!$A:$J,4,0),"Sem Cadastro")</f>
        <v>STEVIA LÍQUIDO</v>
      </c>
      <c r="F175" s="4" t="str">
        <f>IFERROR(VLOOKUP(Tabela1[[#This Row],[Código]],Cadastro!$A:$J,5,0),"Sem Cadastro")</f>
        <v>DESCONTINUADO</v>
      </c>
      <c r="G175" s="5" t="s">
        <v>61</v>
      </c>
      <c r="H175" s="1">
        <v>275</v>
      </c>
      <c r="I175" s="1">
        <v>8.2925490730597851</v>
      </c>
      <c r="J175" s="1">
        <v>516.82746645536122</v>
      </c>
      <c r="K175" s="1">
        <v>446</v>
      </c>
      <c r="L175" s="1">
        <v>850.44631780922896</v>
      </c>
      <c r="M175" s="1">
        <v>400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</row>
    <row r="176" spans="1:48" x14ac:dyDescent="0.3">
      <c r="A176" s="4">
        <v>410014793</v>
      </c>
      <c r="B176" s="4" t="s">
        <v>263</v>
      </c>
      <c r="C176" s="4" t="str">
        <f>IFERROR(VLOOKUP(Tabela1[[#This Row],[Código]],Cadastro!$A:$J,2,0),"Sem Cadastro")</f>
        <v>ADOÇANTES</v>
      </c>
      <c r="D176" s="4" t="str">
        <f>IFERROR(VLOOKUP(Tabela1[[#This Row],[Código]],Cadastro!$A:$J,3,0),"Sem Cadastro")</f>
        <v>STEVIA</v>
      </c>
      <c r="E176" s="4" t="str">
        <f>IFERROR(VLOOKUP(Tabela1[[#This Row],[Código]],Cadastro!$A:$J,4,0),"Sem Cadastro")</f>
        <v>STEVIA PÓ</v>
      </c>
      <c r="F176" s="4" t="str">
        <f>IFERROR(VLOOKUP(Tabela1[[#This Row],[Código]],Cadastro!$A:$J,5,0),"Sem Cadastro")</f>
        <v>DESCONTINUADO</v>
      </c>
      <c r="G176" s="5" t="s">
        <v>74</v>
      </c>
      <c r="H176" s="1">
        <v>3301.567528634273</v>
      </c>
      <c r="I176" s="1">
        <v>4596.2474238642126</v>
      </c>
      <c r="J176" s="1">
        <v>4500.0581379474788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</row>
    <row r="177" spans="1:48" x14ac:dyDescent="0.3">
      <c r="A177" s="4">
        <v>410024797</v>
      </c>
      <c r="B177" s="4" t="s">
        <v>264</v>
      </c>
      <c r="C177" s="4" t="str">
        <f>IFERROR(VLOOKUP(Tabela1[[#This Row],[Código]],Cadastro!$A:$J,2,0),"Sem Cadastro")</f>
        <v>ADOÇANTES</v>
      </c>
      <c r="D177" s="4" t="str">
        <f>IFERROR(VLOOKUP(Tabela1[[#This Row],[Código]],Cadastro!$A:$J,3,0),"Sem Cadastro")</f>
        <v>STEVIA</v>
      </c>
      <c r="E177" s="4" t="str">
        <f>IFERROR(VLOOKUP(Tabela1[[#This Row],[Código]],Cadastro!$A:$J,4,0),"Sem Cadastro")</f>
        <v>STEVIA PÓ</v>
      </c>
      <c r="F177" s="4" t="str">
        <f>IFERROR(VLOOKUP(Tabela1[[#This Row],[Código]],Cadastro!$A:$J,5,0),"Sem Cadastro")</f>
        <v>DESCONTINUADO</v>
      </c>
      <c r="G177" s="5" t="s">
        <v>74</v>
      </c>
      <c r="H177" s="1">
        <v>74</v>
      </c>
      <c r="I177" s="1">
        <v>5.2373994145640745</v>
      </c>
      <c r="J177" s="1">
        <v>312.97556334214056</v>
      </c>
      <c r="K177" s="1">
        <v>245</v>
      </c>
      <c r="L177" s="1">
        <v>256.73851103674838</v>
      </c>
      <c r="M177" s="1">
        <v>248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</row>
    <row r="178" spans="1:48" x14ac:dyDescent="0.3">
      <c r="A178" s="4">
        <v>410024780</v>
      </c>
      <c r="B178" s="4" t="s">
        <v>265</v>
      </c>
      <c r="C178" s="4" t="str">
        <f>IFERROR(VLOOKUP(Tabela1[[#This Row],[Código]],Cadastro!$A:$J,2,0),"Sem Cadastro")</f>
        <v>ADOÇANTES</v>
      </c>
      <c r="D178" s="4" t="str">
        <f>IFERROR(VLOOKUP(Tabela1[[#This Row],[Código]],Cadastro!$A:$J,3,0),"Sem Cadastro")</f>
        <v>STEVIA</v>
      </c>
      <c r="E178" s="4" t="str">
        <f>IFERROR(VLOOKUP(Tabela1[[#This Row],[Código]],Cadastro!$A:$J,4,0),"Sem Cadastro")</f>
        <v>STEVIA INSTITUCIONAL</v>
      </c>
      <c r="F178" s="4" t="str">
        <f>IFERROR(VLOOKUP(Tabela1[[#This Row],[Código]],Cadastro!$A:$J,5,0),"Sem Cadastro")</f>
        <v>DESCONTINUADO</v>
      </c>
      <c r="G178" s="5" t="s">
        <v>74</v>
      </c>
      <c r="H178" s="1">
        <v>367</v>
      </c>
      <c r="I178" s="1">
        <v>495.41609889286673</v>
      </c>
      <c r="J178" s="1">
        <v>493.96245828931274</v>
      </c>
      <c r="K178" s="1">
        <v>623</v>
      </c>
      <c r="L178" s="1">
        <v>303.87409704740139</v>
      </c>
      <c r="M178" s="1">
        <v>650</v>
      </c>
      <c r="N178" s="1">
        <v>839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</row>
    <row r="179" spans="1:48" x14ac:dyDescent="0.3">
      <c r="A179" s="4">
        <v>410014715</v>
      </c>
      <c r="B179" s="4" t="s">
        <v>105</v>
      </c>
      <c r="C179" s="4" t="str">
        <f>IFERROR(VLOOKUP(Tabela1[[#This Row],[Código]],Cadastro!$A:$J,2,0),"Sem Cadastro")</f>
        <v>ADOÇANTES</v>
      </c>
      <c r="D179" s="4" t="str">
        <f>IFERROR(VLOOKUP(Tabela1[[#This Row],[Código]],Cadastro!$A:$J,3,0),"Sem Cadastro")</f>
        <v>STEVIA</v>
      </c>
      <c r="E179" s="4" t="str">
        <f>IFERROR(VLOOKUP(Tabela1[[#This Row],[Código]],Cadastro!$A:$J,4,0),"Sem Cadastro")</f>
        <v>STEVIA LÍQUIDO</v>
      </c>
      <c r="F179" s="4" t="str">
        <f>IFERROR(VLOOKUP(Tabela1[[#This Row],[Código]],Cadastro!$A:$J,5,0),"Sem Cadastro")</f>
        <v>DESCONTINUADO</v>
      </c>
      <c r="G179" s="5" t="s">
        <v>74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161</v>
      </c>
      <c r="O179" s="1">
        <v>600</v>
      </c>
      <c r="P179" s="1">
        <v>205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</row>
    <row r="180" spans="1:48" x14ac:dyDescent="0.3">
      <c r="A180" s="4">
        <v>418014792</v>
      </c>
      <c r="B180" s="4" t="s">
        <v>266</v>
      </c>
      <c r="C180" s="4" t="str">
        <f>IFERROR(VLOOKUP(Tabela1[[#This Row],[Código]],Cadastro!$A:$J,2,0),"Sem Cadastro")</f>
        <v>ADOÇANTES</v>
      </c>
      <c r="D180" s="4" t="str">
        <f>IFERROR(VLOOKUP(Tabela1[[#This Row],[Código]],Cadastro!$A:$J,3,0),"Sem Cadastro")</f>
        <v>STEVIA</v>
      </c>
      <c r="E180" s="4" t="str">
        <f>IFERROR(VLOOKUP(Tabela1[[#This Row],[Código]],Cadastro!$A:$J,4,0),"Sem Cadastro")</f>
        <v>STEVIA LÍQUIDO</v>
      </c>
      <c r="F180" s="4" t="str">
        <f>IFERROR(VLOOKUP(Tabela1[[#This Row],[Código]],Cadastro!$A:$J,5,0),"Sem Cadastro")</f>
        <v>DESCONTINUADO</v>
      </c>
      <c r="G180" s="5" t="s">
        <v>61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1">
        <v>0</v>
      </c>
      <c r="AT180" s="1">
        <v>9333</v>
      </c>
      <c r="AU180" s="1">
        <v>9333</v>
      </c>
      <c r="AV180" s="1">
        <v>3930</v>
      </c>
    </row>
    <row r="181" spans="1:48" x14ac:dyDescent="0.3">
      <c r="A181" s="4">
        <v>415024724</v>
      </c>
      <c r="B181" s="4" t="s">
        <v>98</v>
      </c>
      <c r="C181" s="4" t="str">
        <f>IFERROR(VLOOKUP(Tabela1[[#This Row],[Código]],Cadastro!$A:$J,2,0),"Sem Cadastro")</f>
        <v>ADOÇANTES</v>
      </c>
      <c r="D181" s="4" t="str">
        <f>IFERROR(VLOOKUP(Tabela1[[#This Row],[Código]],Cadastro!$A:$J,3,0),"Sem Cadastro")</f>
        <v>STEVIA</v>
      </c>
      <c r="E181" s="4" t="str">
        <f>IFERROR(VLOOKUP(Tabela1[[#This Row],[Código]],Cadastro!$A:$J,4,0),"Sem Cadastro")</f>
        <v>STEVIA PÓ</v>
      </c>
      <c r="F181" s="4" t="str">
        <f>IFERROR(VLOOKUP(Tabela1[[#This Row],[Código]],Cadastro!$A:$J,5,0),"Sem Cadastro")</f>
        <v>DESCONTINUADO</v>
      </c>
      <c r="G181" s="5" t="s">
        <v>74</v>
      </c>
      <c r="H181" s="1">
        <v>0</v>
      </c>
      <c r="I181" s="1">
        <v>0</v>
      </c>
      <c r="J181" s="1">
        <v>0</v>
      </c>
      <c r="K181" s="1">
        <v>358</v>
      </c>
      <c r="L181" s="1">
        <v>862.48093551407669</v>
      </c>
      <c r="M181" s="1">
        <v>1150</v>
      </c>
      <c r="N181" s="1">
        <v>1560</v>
      </c>
      <c r="O181" s="1">
        <v>1300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</row>
    <row r="182" spans="1:48" x14ac:dyDescent="0.3">
      <c r="A182" s="4">
        <v>410026710</v>
      </c>
      <c r="B182" s="4" t="s">
        <v>73</v>
      </c>
      <c r="C182" s="4" t="str">
        <f>IFERROR(VLOOKUP(Tabela1[[#This Row],[Código]],Cadastro!$A:$J,2,0),"Sem Cadastro")</f>
        <v>ADOÇANTES</v>
      </c>
      <c r="D182" s="4" t="str">
        <f>IFERROR(VLOOKUP(Tabela1[[#This Row],[Código]],Cadastro!$A:$J,3,0),"Sem Cadastro")</f>
        <v>STEVIA</v>
      </c>
      <c r="E182" s="4" t="str">
        <f>IFERROR(VLOOKUP(Tabela1[[#This Row],[Código]],Cadastro!$A:$J,4,0),"Sem Cadastro")</f>
        <v>STEVIA PÓ</v>
      </c>
      <c r="F182" s="4" t="str">
        <f>IFERROR(VLOOKUP(Tabela1[[#This Row],[Código]],Cadastro!$A:$J,5,0),"Sem Cadastro")</f>
        <v>DESCONTINUADO</v>
      </c>
      <c r="G182" s="5" t="s">
        <v>74</v>
      </c>
      <c r="H182" s="1">
        <v>0</v>
      </c>
      <c r="I182" s="1">
        <v>0</v>
      </c>
      <c r="J182" s="1">
        <v>0</v>
      </c>
      <c r="K182" s="1">
        <v>4304</v>
      </c>
      <c r="L182" s="1">
        <v>4512.9816393178426</v>
      </c>
      <c r="M182" s="1">
        <v>4800</v>
      </c>
      <c r="N182" s="1">
        <v>4450</v>
      </c>
      <c r="O182" s="1">
        <v>3000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</row>
    <row r="183" spans="1:48" x14ac:dyDescent="0.3">
      <c r="A183" s="4">
        <v>410024712</v>
      </c>
      <c r="B183" s="4" t="s">
        <v>267</v>
      </c>
      <c r="C183" s="4" t="str">
        <f>IFERROR(VLOOKUP(Tabela1[[#This Row],[Código]],Cadastro!$A:$J,2,0),"Sem Cadastro")</f>
        <v>ADOÇANTES</v>
      </c>
      <c r="D183" s="4" t="str">
        <f>IFERROR(VLOOKUP(Tabela1[[#This Row],[Código]],Cadastro!$A:$J,3,0),"Sem Cadastro")</f>
        <v>STEVIA</v>
      </c>
      <c r="E183" s="4" t="str">
        <f>IFERROR(VLOOKUP(Tabela1[[#This Row],[Código]],Cadastro!$A:$J,4,0),"Sem Cadastro")</f>
        <v>STEVIA PÓ</v>
      </c>
      <c r="F183" s="4" t="str">
        <f>IFERROR(VLOOKUP(Tabela1[[#This Row],[Código]],Cadastro!$A:$J,5,0),"Sem Cadastro")</f>
        <v>DESCONTINUADO</v>
      </c>
      <c r="G183" s="5" t="s">
        <v>74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150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</row>
    <row r="184" spans="1:48" x14ac:dyDescent="0.3">
      <c r="A184" s="4">
        <v>418026410</v>
      </c>
      <c r="B184" s="4" t="s">
        <v>268</v>
      </c>
      <c r="C184" s="4" t="str">
        <f>IFERROR(VLOOKUP(Tabela1[[#This Row],[Código]],Cadastro!$A:$J,2,0),"Sem Cadastro")</f>
        <v>ADOÇANTES</v>
      </c>
      <c r="D184" s="4" t="str">
        <f>IFERROR(VLOOKUP(Tabela1[[#This Row],[Código]],Cadastro!$A:$J,3,0),"Sem Cadastro")</f>
        <v>STEVIA</v>
      </c>
      <c r="E184" s="4" t="str">
        <f>IFERROR(VLOOKUP(Tabela1[[#This Row],[Código]],Cadastro!$A:$J,4,0),"Sem Cadastro")</f>
        <v>STEVIA PÓ</v>
      </c>
      <c r="F184" s="4" t="str">
        <f>IFERROR(VLOOKUP(Tabela1[[#This Row],[Código]],Cadastro!$A:$J,5,0),"Sem Cadastro")</f>
        <v>DESCONTINUADO</v>
      </c>
      <c r="G184" s="5" t="s">
        <v>74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1">
        <v>0</v>
      </c>
      <c r="AT184" s="1">
        <v>3704</v>
      </c>
      <c r="AU184" s="1">
        <v>3704</v>
      </c>
      <c r="AV184" s="1">
        <v>1440</v>
      </c>
    </row>
    <row r="185" spans="1:48" x14ac:dyDescent="0.3">
      <c r="A185" s="4">
        <v>410024701</v>
      </c>
      <c r="B185" s="4" t="s">
        <v>130</v>
      </c>
      <c r="C185" s="4" t="str">
        <f>IFERROR(VLOOKUP(Tabela1[[#This Row],[Código]],Cadastro!$A:$J,2,0),"Sem Cadastro")</f>
        <v>ADOÇANTES</v>
      </c>
      <c r="D185" s="4" t="str">
        <f>IFERROR(VLOOKUP(Tabela1[[#This Row],[Código]],Cadastro!$A:$J,3,0),"Sem Cadastro")</f>
        <v>STEVIA</v>
      </c>
      <c r="E185" s="4" t="str">
        <f>IFERROR(VLOOKUP(Tabela1[[#This Row],[Código]],Cadastro!$A:$J,4,0),"Sem Cadastro")</f>
        <v>STEVIA PÓ</v>
      </c>
      <c r="F185" s="4" t="str">
        <f>IFERROR(VLOOKUP(Tabela1[[#This Row],[Código]],Cadastro!$A:$J,5,0),"Sem Cadastro")</f>
        <v>DESCONTINUADO</v>
      </c>
      <c r="G185" s="5" t="s">
        <v>74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232</v>
      </c>
      <c r="N185" s="1">
        <v>440</v>
      </c>
      <c r="O185" s="1">
        <v>500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</row>
    <row r="186" spans="1:48" x14ac:dyDescent="0.3">
      <c r="A186" s="4">
        <v>410024798</v>
      </c>
      <c r="B186" s="4" t="s">
        <v>269</v>
      </c>
      <c r="C186" s="4" t="str">
        <f>IFERROR(VLOOKUP(Tabela1[[#This Row],[Código]],Cadastro!$A:$J,2,0),"Sem Cadastro")</f>
        <v>ADOÇANTES</v>
      </c>
      <c r="D186" s="4" t="str">
        <f>IFERROR(VLOOKUP(Tabela1[[#This Row],[Código]],Cadastro!$A:$J,3,0),"Sem Cadastro")</f>
        <v>STEVIA</v>
      </c>
      <c r="E186" s="4" t="str">
        <f>IFERROR(VLOOKUP(Tabela1[[#This Row],[Código]],Cadastro!$A:$J,4,0),"Sem Cadastro")</f>
        <v>STEVIA PÓ</v>
      </c>
      <c r="F186" s="4" t="str">
        <f>IFERROR(VLOOKUP(Tabela1[[#This Row],[Código]],Cadastro!$A:$J,5,0),"Sem Cadastro")</f>
        <v>DESCONTINUADO</v>
      </c>
      <c r="G186" s="5" t="s">
        <v>74</v>
      </c>
      <c r="H186" s="1">
        <v>229</v>
      </c>
      <c r="I186" s="1">
        <v>404.9186263932944</v>
      </c>
      <c r="J186" s="1">
        <v>324.91881644778874</v>
      </c>
      <c r="K186" s="1">
        <v>387</v>
      </c>
      <c r="L186" s="1">
        <v>653.88089529671845</v>
      </c>
      <c r="M186" s="1">
        <v>200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</row>
    <row r="187" spans="1:48" x14ac:dyDescent="0.3">
      <c r="A187" s="4">
        <v>415024789</v>
      </c>
      <c r="B187" s="4" t="s">
        <v>270</v>
      </c>
      <c r="C187" s="4" t="str">
        <f>IFERROR(VLOOKUP(Tabela1[[#This Row],[Código]],Cadastro!$A:$J,2,0),"Sem Cadastro")</f>
        <v>ADOÇANTES</v>
      </c>
      <c r="D187" s="4" t="str">
        <f>IFERROR(VLOOKUP(Tabela1[[#This Row],[Código]],Cadastro!$A:$J,3,0),"Sem Cadastro")</f>
        <v>STEVIA</v>
      </c>
      <c r="E187" s="4" t="str">
        <f>IFERROR(VLOOKUP(Tabela1[[#This Row],[Código]],Cadastro!$A:$J,4,0),"Sem Cadastro")</f>
        <v>STEVIA PÓ</v>
      </c>
      <c r="F187" s="4" t="str">
        <f>IFERROR(VLOOKUP(Tabela1[[#This Row],[Código]],Cadastro!$A:$J,5,0),"Sem Cadastro")</f>
        <v>DESCONTINUADO</v>
      </c>
      <c r="G187" s="5" t="s">
        <v>74</v>
      </c>
      <c r="H187" s="1">
        <v>687</v>
      </c>
      <c r="I187" s="1">
        <v>1003.6848075677013</v>
      </c>
      <c r="J187" s="1">
        <v>776.34839088004605</v>
      </c>
      <c r="K187" s="1">
        <v>585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</row>
    <row r="188" spans="1:48" x14ac:dyDescent="0.3">
      <c r="A188" s="4">
        <v>410015650</v>
      </c>
      <c r="B188" s="4" t="s">
        <v>271</v>
      </c>
      <c r="C188" s="4" t="str">
        <f>IFERROR(VLOOKUP(Tabela1[[#This Row],[Código]],Cadastro!$A:$J,2,0),"Sem Cadastro")</f>
        <v>ADOÇANTES</v>
      </c>
      <c r="D188" s="4" t="str">
        <f>IFERROR(VLOOKUP(Tabela1[[#This Row],[Código]],Cadastro!$A:$J,3,0),"Sem Cadastro")</f>
        <v>SUCRALOSE</v>
      </c>
      <c r="E188" s="4" t="str">
        <f>IFERROR(VLOOKUP(Tabela1[[#This Row],[Código]],Cadastro!$A:$J,4,0),"Sem Cadastro")</f>
        <v>SUCRALOSE LÍQUIDO</v>
      </c>
      <c r="F188" s="4" t="str">
        <f>IFERROR(VLOOKUP(Tabela1[[#This Row],[Código]],Cadastro!$A:$J,5,0),"Sem Cadastro")</f>
        <v>DESCONTINUADO</v>
      </c>
      <c r="G188" s="5" t="s">
        <v>63</v>
      </c>
      <c r="H188" s="1">
        <v>83</v>
      </c>
      <c r="I188" s="1">
        <v>48.94815870631659</v>
      </c>
      <c r="J188" s="1">
        <v>103.50442936653043</v>
      </c>
      <c r="K188" s="1">
        <v>187</v>
      </c>
      <c r="L188" s="1">
        <v>280.80774644644356</v>
      </c>
      <c r="M188" s="1">
        <v>150</v>
      </c>
      <c r="N188" s="1">
        <v>0</v>
      </c>
      <c r="O188" s="1">
        <v>0</v>
      </c>
      <c r="P188" s="1">
        <v>90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</row>
    <row r="189" spans="1:48" x14ac:dyDescent="0.3">
      <c r="A189" s="4">
        <v>410015651</v>
      </c>
      <c r="B189" s="4" t="s">
        <v>272</v>
      </c>
      <c r="C189" s="4" t="str">
        <f>IFERROR(VLOOKUP(Tabela1[[#This Row],[Código]],Cadastro!$A:$J,2,0),"Sem Cadastro")</f>
        <v>ADOÇANTES</v>
      </c>
      <c r="D189" s="4" t="str">
        <f>IFERROR(VLOOKUP(Tabela1[[#This Row],[Código]],Cadastro!$A:$J,3,0),"Sem Cadastro")</f>
        <v>SUCRALOSE</v>
      </c>
      <c r="E189" s="4" t="str">
        <f>IFERROR(VLOOKUP(Tabela1[[#This Row],[Código]],Cadastro!$A:$J,4,0),"Sem Cadastro")</f>
        <v>SUCRALOSE LÍQUIDO</v>
      </c>
      <c r="F189" s="4" t="str">
        <f>IFERROR(VLOOKUP(Tabela1[[#This Row],[Código]],Cadastro!$A:$J,5,0),"Sem Cadastro")</f>
        <v>DESCONTINUADO</v>
      </c>
      <c r="G189" s="5" t="s">
        <v>63</v>
      </c>
      <c r="H189" s="1">
        <v>92</v>
      </c>
      <c r="I189" s="1">
        <v>97.251049783736349</v>
      </c>
      <c r="J189" s="1">
        <v>442.5812902109077</v>
      </c>
      <c r="K189" s="1">
        <v>690</v>
      </c>
      <c r="L189" s="1">
        <v>194.5596528950359</v>
      </c>
      <c r="M189" s="1">
        <v>500</v>
      </c>
      <c r="N189" s="1">
        <v>70</v>
      </c>
      <c r="O189" s="1">
        <v>0</v>
      </c>
      <c r="P189" s="1">
        <v>55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</row>
    <row r="190" spans="1:48" x14ac:dyDescent="0.3">
      <c r="A190" s="4">
        <v>410020079</v>
      </c>
      <c r="B190" s="4" t="s">
        <v>273</v>
      </c>
      <c r="C190" s="4" t="str">
        <f>IFERROR(VLOOKUP(Tabela1[[#This Row],[Código]],Cadastro!$A:$J,2,0),"Sem Cadastro")</f>
        <v>ADOÇANTES</v>
      </c>
      <c r="D190" s="4" t="str">
        <f>IFERROR(VLOOKUP(Tabela1[[#This Row],[Código]],Cadastro!$A:$J,3,0),"Sem Cadastro")</f>
        <v>SUCRALOSE</v>
      </c>
      <c r="E190" s="4" t="str">
        <f>IFERROR(VLOOKUP(Tabela1[[#This Row],[Código]],Cadastro!$A:$J,4,0),"Sem Cadastro")</f>
        <v>SUCRALOSE INSTITUCIONAL</v>
      </c>
      <c r="F190" s="4" t="str">
        <f>IFERROR(VLOOKUP(Tabela1[[#This Row],[Código]],Cadastro!$A:$J,5,0),"Sem Cadastro")</f>
        <v>DESCONTINUADO</v>
      </c>
      <c r="G190" s="5" t="s">
        <v>59</v>
      </c>
      <c r="H190" s="1">
        <v>8236.9999999999964</v>
      </c>
      <c r="I190" s="1">
        <v>10382.824999999999</v>
      </c>
      <c r="J190" s="1">
        <v>11268.961765659806</v>
      </c>
      <c r="K190" s="1">
        <v>7573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</row>
    <row r="191" spans="1:48" x14ac:dyDescent="0.3">
      <c r="A191" s="4">
        <v>410020073</v>
      </c>
      <c r="B191" s="4" t="s">
        <v>274</v>
      </c>
      <c r="C191" s="4" t="str">
        <f>IFERROR(VLOOKUP(Tabela1[[#This Row],[Código]],Cadastro!$A:$J,2,0),"Sem Cadastro")</f>
        <v>ADOÇANTES</v>
      </c>
      <c r="D191" s="4" t="str">
        <f>IFERROR(VLOOKUP(Tabela1[[#This Row],[Código]],Cadastro!$A:$J,3,0),"Sem Cadastro")</f>
        <v>SUCRALOSE</v>
      </c>
      <c r="E191" s="4" t="str">
        <f>IFERROR(VLOOKUP(Tabela1[[#This Row],[Código]],Cadastro!$A:$J,4,0),"Sem Cadastro")</f>
        <v>SUCRALOSE PÓ</v>
      </c>
      <c r="F191" s="4" t="str">
        <f>IFERROR(VLOOKUP(Tabela1[[#This Row],[Código]],Cadastro!$A:$J,5,0),"Sem Cadastro")</f>
        <v>DESCONTINUADO</v>
      </c>
      <c r="G191" s="5" t="s">
        <v>59</v>
      </c>
      <c r="H191" s="1">
        <v>183.75735910588392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400</v>
      </c>
      <c r="O191" s="1">
        <v>400</v>
      </c>
      <c r="P191" s="1">
        <v>142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</row>
    <row r="192" spans="1:48" x14ac:dyDescent="0.3">
      <c r="A192" s="4">
        <v>410020057</v>
      </c>
      <c r="B192" s="4" t="s">
        <v>275</v>
      </c>
      <c r="C192" s="4" t="str">
        <f>IFERROR(VLOOKUP(Tabela1[[#This Row],[Código]],Cadastro!$A:$J,2,0),"Sem Cadastro")</f>
        <v>ADOÇANTES</v>
      </c>
      <c r="D192" s="4" t="str">
        <f>IFERROR(VLOOKUP(Tabela1[[#This Row],[Código]],Cadastro!$A:$J,3,0),"Sem Cadastro")</f>
        <v>SUCRALOSE</v>
      </c>
      <c r="E192" s="4" t="str">
        <f>IFERROR(VLOOKUP(Tabela1[[#This Row],[Código]],Cadastro!$A:$J,4,0),"Sem Cadastro")</f>
        <v>SUCRALOSE PÓ</v>
      </c>
      <c r="F192" s="4" t="str">
        <f>IFERROR(VLOOKUP(Tabela1[[#This Row],[Código]],Cadastro!$A:$J,5,0),"Sem Cadastro")</f>
        <v>DESCONTINUADO</v>
      </c>
      <c r="G192" s="5" t="s">
        <v>59</v>
      </c>
      <c r="H192" s="1">
        <v>138.88637606840064</v>
      </c>
      <c r="I192" s="1">
        <v>211.31525897630632</v>
      </c>
      <c r="J192" s="1">
        <v>151.3481696289615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</row>
    <row r="193" spans="1:48" x14ac:dyDescent="0.3">
      <c r="A193" s="4">
        <v>410020009</v>
      </c>
      <c r="B193" s="4" t="s">
        <v>276</v>
      </c>
      <c r="C193" s="4" t="str">
        <f>IFERROR(VLOOKUP(Tabela1[[#This Row],[Código]],Cadastro!$A:$J,2,0),"Sem Cadastro")</f>
        <v>ADOÇANTES</v>
      </c>
      <c r="D193" s="4" t="str">
        <f>IFERROR(VLOOKUP(Tabela1[[#This Row],[Código]],Cadastro!$A:$J,3,0),"Sem Cadastro")</f>
        <v>SUCRALOSE</v>
      </c>
      <c r="E193" s="4" t="str">
        <f>IFERROR(VLOOKUP(Tabela1[[#This Row],[Código]],Cadastro!$A:$J,4,0),"Sem Cadastro")</f>
        <v>SUCRALOSE PÓ</v>
      </c>
      <c r="F193" s="4" t="str">
        <f>IFERROR(VLOOKUP(Tabela1[[#This Row],[Código]],Cadastro!$A:$J,5,0),"Sem Cadastro")</f>
        <v>DESCONTINUADO</v>
      </c>
      <c r="G193" s="5" t="s">
        <v>59</v>
      </c>
      <c r="H193" s="1">
        <v>2566.1928870484498</v>
      </c>
      <c r="I193" s="1">
        <v>3658.5371016257636</v>
      </c>
      <c r="J193" s="1">
        <v>3499.3138965874296</v>
      </c>
      <c r="K193" s="1">
        <v>3516</v>
      </c>
      <c r="L193" s="1">
        <v>2303.6264056695741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</row>
    <row r="194" spans="1:48" x14ac:dyDescent="0.3">
      <c r="A194" s="4">
        <v>410020037</v>
      </c>
      <c r="B194" s="4" t="s">
        <v>277</v>
      </c>
      <c r="C194" s="4" t="str">
        <f>IFERROR(VLOOKUP(Tabela1[[#This Row],[Código]],Cadastro!$A:$J,2,0),"Sem Cadastro")</f>
        <v>ADOÇANTES</v>
      </c>
      <c r="D194" s="4" t="str">
        <f>IFERROR(VLOOKUP(Tabela1[[#This Row],[Código]],Cadastro!$A:$J,3,0),"Sem Cadastro")</f>
        <v>SUCRALOSE</v>
      </c>
      <c r="E194" s="4" t="str">
        <f>IFERROR(VLOOKUP(Tabela1[[#This Row],[Código]],Cadastro!$A:$J,4,0),"Sem Cadastro")</f>
        <v>SUCRALOSE PÓ</v>
      </c>
      <c r="F194" s="4" t="str">
        <f>IFERROR(VLOOKUP(Tabela1[[#This Row],[Código]],Cadastro!$A:$J,5,0),"Sem Cadastro")</f>
        <v>DESCONTINUADO</v>
      </c>
      <c r="G194" s="5" t="s">
        <v>59</v>
      </c>
      <c r="H194" s="1">
        <v>916.65008205144431</v>
      </c>
      <c r="I194" s="1">
        <v>1300.651289025197</v>
      </c>
      <c r="J194" s="1">
        <v>887.99905882906137</v>
      </c>
      <c r="K194" s="1">
        <v>1120</v>
      </c>
      <c r="L194" s="1">
        <v>901.59344305483125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</row>
    <row r="195" spans="1:48" x14ac:dyDescent="0.3">
      <c r="A195" s="4">
        <v>410025652</v>
      </c>
      <c r="B195" s="4" t="s">
        <v>278</v>
      </c>
      <c r="C195" s="4" t="str">
        <f>IFERROR(VLOOKUP(Tabela1[[#This Row],[Código]],Cadastro!$A:$J,2,0),"Sem Cadastro")</f>
        <v>ADOÇANTES</v>
      </c>
      <c r="D195" s="4" t="str">
        <f>IFERROR(VLOOKUP(Tabela1[[#This Row],[Código]],Cadastro!$A:$J,3,0),"Sem Cadastro")</f>
        <v>SUCRALOSE</v>
      </c>
      <c r="E195" s="4" t="str">
        <f>IFERROR(VLOOKUP(Tabela1[[#This Row],[Código]],Cadastro!$A:$J,4,0),"Sem Cadastro")</f>
        <v>SUCRALOSE PÓ</v>
      </c>
      <c r="F195" s="4" t="str">
        <f>IFERROR(VLOOKUP(Tabela1[[#This Row],[Código]],Cadastro!$A:$J,5,0),"Sem Cadastro")</f>
        <v>DESCONTINUADO</v>
      </c>
      <c r="G195" s="5" t="s">
        <v>59</v>
      </c>
      <c r="H195" s="1">
        <v>46</v>
      </c>
      <c r="I195" s="1">
        <v>15.762966363051104</v>
      </c>
      <c r="J195" s="1">
        <v>55.908223709099012</v>
      </c>
      <c r="K195" s="1">
        <v>34</v>
      </c>
      <c r="L195" s="1">
        <v>232.6692756270532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</row>
    <row r="196" spans="1:48" x14ac:dyDescent="0.3">
      <c r="A196" s="4">
        <v>410020080</v>
      </c>
      <c r="B196" s="4" t="s">
        <v>279</v>
      </c>
      <c r="C196" s="4" t="str">
        <f>IFERROR(VLOOKUP(Tabela1[[#This Row],[Código]],Cadastro!$A:$J,2,0),"Sem Cadastro")</f>
        <v>ADOÇANTES</v>
      </c>
      <c r="D196" s="4" t="str">
        <f>IFERROR(VLOOKUP(Tabela1[[#This Row],[Código]],Cadastro!$A:$J,3,0),"Sem Cadastro")</f>
        <v>SUCRALOSE</v>
      </c>
      <c r="E196" s="4" t="str">
        <f>IFERROR(VLOOKUP(Tabela1[[#This Row],[Código]],Cadastro!$A:$J,4,0),"Sem Cadastro")</f>
        <v>SUCRALOSE INSTITUCIONAL</v>
      </c>
      <c r="F196" s="4" t="str">
        <f>IFERROR(VLOOKUP(Tabela1[[#This Row],[Código]],Cadastro!$A:$J,5,0),"Sem Cadastro")</f>
        <v>DESCONTINUADO</v>
      </c>
      <c r="G196" s="5" t="s">
        <v>59</v>
      </c>
      <c r="H196" s="1">
        <v>3204</v>
      </c>
      <c r="I196" s="1">
        <v>5000</v>
      </c>
      <c r="J196" s="1">
        <v>5703.1447159115232</v>
      </c>
      <c r="K196" s="1">
        <v>8352</v>
      </c>
      <c r="L196" s="1">
        <v>5133.7673359262299</v>
      </c>
      <c r="M196" s="1">
        <v>1464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</row>
    <row r="197" spans="1:48" x14ac:dyDescent="0.3">
      <c r="A197" s="4">
        <v>418025614</v>
      </c>
      <c r="B197" s="4" t="s">
        <v>280</v>
      </c>
      <c r="C197" s="4" t="str">
        <f>IFERROR(VLOOKUP(Tabela1[[#This Row],[Código]],Cadastro!$A:$J,2,0),"Sem Cadastro")</f>
        <v>ADOÇANTES</v>
      </c>
      <c r="D197" s="4" t="str">
        <f>IFERROR(VLOOKUP(Tabela1[[#This Row],[Código]],Cadastro!$A:$J,3,0),"Sem Cadastro")</f>
        <v>SUCRALOSE</v>
      </c>
      <c r="E197" s="4" t="str">
        <f>IFERROR(VLOOKUP(Tabela1[[#This Row],[Código]],Cadastro!$A:$J,4,0),"Sem Cadastro")</f>
        <v>SUCRALOSE INSTITUCIONAL</v>
      </c>
      <c r="F197" s="4" t="str">
        <f>IFERROR(VLOOKUP(Tabela1[[#This Row],[Código]],Cadastro!$A:$J,5,0),"Sem Cadastro")</f>
        <v>DESCONTINUADO</v>
      </c>
      <c r="G197" s="5" t="s">
        <v>59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1">
        <v>0</v>
      </c>
      <c r="AT197" s="1">
        <v>14169</v>
      </c>
      <c r="AU197" s="1">
        <v>14169</v>
      </c>
      <c r="AV197" s="1">
        <v>4770</v>
      </c>
    </row>
    <row r="198" spans="1:48" x14ac:dyDescent="0.3">
      <c r="A198" s="4">
        <v>410026314</v>
      </c>
      <c r="B198" s="4" t="s">
        <v>281</v>
      </c>
      <c r="C198" s="4" t="str">
        <f>IFERROR(VLOOKUP(Tabela1[[#This Row],[Código]],Cadastro!$A:$J,2,0),"Sem Cadastro")</f>
        <v>ADOÇANTES</v>
      </c>
      <c r="D198" s="4" t="str">
        <f>IFERROR(VLOOKUP(Tabela1[[#This Row],[Código]],Cadastro!$A:$J,3,0),"Sem Cadastro")</f>
        <v>SUCRALOSE</v>
      </c>
      <c r="E198" s="4" t="str">
        <f>IFERROR(VLOOKUP(Tabela1[[#This Row],[Código]],Cadastro!$A:$J,4,0),"Sem Cadastro")</f>
        <v>SUCRALOSE INSTITUCIONAL</v>
      </c>
      <c r="F198" s="4" t="str">
        <f>IFERROR(VLOOKUP(Tabela1[[#This Row],[Código]],Cadastro!$A:$J,5,0),"Sem Cadastro")</f>
        <v>DESCONTINUADO</v>
      </c>
      <c r="G198" s="5" t="s">
        <v>59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9999.9999999999982</v>
      </c>
      <c r="Q198" s="1">
        <v>11945.484581183202</v>
      </c>
      <c r="R198" s="1">
        <v>12152.376830431558</v>
      </c>
      <c r="S198" s="1">
        <v>8624</v>
      </c>
      <c r="T198" s="1">
        <v>10000</v>
      </c>
      <c r="U198" s="1">
        <v>10000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</row>
    <row r="199" spans="1:48" x14ac:dyDescent="0.3">
      <c r="A199" s="4">
        <v>410026315</v>
      </c>
      <c r="B199" s="4" t="s">
        <v>282</v>
      </c>
      <c r="C199" s="4" t="str">
        <f>IFERROR(VLOOKUP(Tabela1[[#This Row],[Código]],Cadastro!$A:$J,2,0),"Sem Cadastro")</f>
        <v>ADOÇANTES</v>
      </c>
      <c r="D199" s="4" t="str">
        <f>IFERROR(VLOOKUP(Tabela1[[#This Row],[Código]],Cadastro!$A:$J,3,0),"Sem Cadastro")</f>
        <v>SUCRALOSE</v>
      </c>
      <c r="E199" s="4" t="str">
        <f>IFERROR(VLOOKUP(Tabela1[[#This Row],[Código]],Cadastro!$A:$J,4,0),"Sem Cadastro")</f>
        <v>SUCRALOSE INSTITUCIONAL</v>
      </c>
      <c r="F199" s="4" t="str">
        <f>IFERROR(VLOOKUP(Tabela1[[#This Row],[Código]],Cadastro!$A:$J,5,0),"Sem Cadastro")</f>
        <v>DESCONTINUADO</v>
      </c>
      <c r="G199" s="5" t="s">
        <v>59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6000</v>
      </c>
      <c r="Q199" s="1">
        <v>6432.184005252494</v>
      </c>
      <c r="R199" s="1">
        <v>6944.2153316751765</v>
      </c>
      <c r="S199" s="1">
        <v>6065</v>
      </c>
      <c r="T199" s="1">
        <v>6000</v>
      </c>
      <c r="U199" s="1">
        <v>6000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</row>
    <row r="200" spans="1:48" x14ac:dyDescent="0.3">
      <c r="A200" s="4">
        <v>418010021</v>
      </c>
      <c r="B200" s="4" t="s">
        <v>283</v>
      </c>
      <c r="C200" s="4" t="str">
        <f>IFERROR(VLOOKUP(Tabela1[[#This Row],[Código]],Cadastro!$A:$J,2,0),"Sem Cadastro")</f>
        <v>ADOÇANTES</v>
      </c>
      <c r="D200" s="4" t="str">
        <f>IFERROR(VLOOKUP(Tabela1[[#This Row],[Código]],Cadastro!$A:$J,3,0),"Sem Cadastro")</f>
        <v>SUCRALOSE</v>
      </c>
      <c r="E200" s="4" t="str">
        <f>IFERROR(VLOOKUP(Tabela1[[#This Row],[Código]],Cadastro!$A:$J,4,0),"Sem Cadastro")</f>
        <v>SUCRALOSE LÍQUIDO</v>
      </c>
      <c r="F200" s="4" t="str">
        <f>IFERROR(VLOOKUP(Tabela1[[#This Row],[Código]],Cadastro!$A:$J,5,0),"Sem Cadastro")</f>
        <v>DESCONTINUADO</v>
      </c>
      <c r="G200" s="5" t="s">
        <v>63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1">
        <v>0</v>
      </c>
      <c r="AT200" s="1">
        <v>8882</v>
      </c>
      <c r="AU200" s="1">
        <v>8882</v>
      </c>
      <c r="AV200" s="1">
        <v>3240</v>
      </c>
    </row>
    <row r="201" spans="1:48" ht="14.4" x14ac:dyDescent="0.3">
      <c r="A201" s="4">
        <v>415026324</v>
      </c>
      <c r="B201" t="s">
        <v>109</v>
      </c>
      <c r="C201" s="4" t="str">
        <f>IFERROR(VLOOKUP(Tabela1[[#This Row],[Código]],Cadastro!$A:$J,2,0),"Sem Cadastro")</f>
        <v>ADOÇANTES</v>
      </c>
      <c r="D201" s="4" t="str">
        <f>IFERROR(VLOOKUP(Tabela1[[#This Row],[Código]],Cadastro!$A:$J,3,0),"Sem Cadastro")</f>
        <v>SUCRALOSE</v>
      </c>
      <c r="E201" s="4" t="str">
        <f>IFERROR(VLOOKUP(Tabela1[[#This Row],[Código]],Cadastro!$A:$J,4,0),"Sem Cadastro")</f>
        <v>SUCRALOSE PÓ</v>
      </c>
      <c r="F201" s="4" t="str">
        <f>IFERROR(VLOOKUP(Tabela1[[#This Row],[Código]],Cadastro!$A:$J,5,0),"Sem Cadastro")</f>
        <v>DESCONTINUADO</v>
      </c>
      <c r="G201" s="5" t="s">
        <v>59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1000</v>
      </c>
      <c r="P201" s="1">
        <v>1800</v>
      </c>
      <c r="Q201" s="1">
        <v>1700</v>
      </c>
      <c r="R201" s="1">
        <v>1736.0538329187941</v>
      </c>
      <c r="S201" s="1">
        <v>1012</v>
      </c>
      <c r="T201" s="1">
        <v>900</v>
      </c>
      <c r="U201" s="1">
        <v>999.99999999999989</v>
      </c>
      <c r="V201" s="1">
        <v>855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</row>
    <row r="202" spans="1:48" x14ac:dyDescent="0.3">
      <c r="A202" s="4">
        <v>410026306</v>
      </c>
      <c r="B202" s="4" t="s">
        <v>284</v>
      </c>
      <c r="C202" s="4" t="str">
        <f>IFERROR(VLOOKUP(Tabela1[[#This Row],[Código]],Cadastro!$A:$J,2,0),"Sem Cadastro")</f>
        <v>ADOÇANTES</v>
      </c>
      <c r="D202" s="4" t="str">
        <f>IFERROR(VLOOKUP(Tabela1[[#This Row],[Código]],Cadastro!$A:$J,3,0),"Sem Cadastro")</f>
        <v>SUCRALOSE</v>
      </c>
      <c r="E202" s="4" t="str">
        <f>IFERROR(VLOOKUP(Tabela1[[#This Row],[Código]],Cadastro!$A:$J,4,0),"Sem Cadastro")</f>
        <v>SUCRALOSE PÓ</v>
      </c>
      <c r="F202" s="4" t="str">
        <f>IFERROR(VLOOKUP(Tabela1[[#This Row],[Código]],Cadastro!$A:$J,5,0),"Sem Cadastro")</f>
        <v>DESCONTINUADO</v>
      </c>
      <c r="G202" s="5" t="s">
        <v>59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250.00000000000003</v>
      </c>
      <c r="Q202" s="1">
        <v>229.72085733044619</v>
      </c>
      <c r="R202" s="1">
        <v>217.00672911484926</v>
      </c>
      <c r="S202" s="1">
        <v>204</v>
      </c>
      <c r="T202" s="1">
        <v>100.00000000000001</v>
      </c>
      <c r="U202" s="1">
        <v>115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</row>
    <row r="203" spans="1:48" x14ac:dyDescent="0.3">
      <c r="A203" s="4">
        <v>410026304</v>
      </c>
      <c r="B203" s="4" t="s">
        <v>285</v>
      </c>
      <c r="C203" s="4" t="str">
        <f>IFERROR(VLOOKUP(Tabela1[[#This Row],[Código]],Cadastro!$A:$J,2,0),"Sem Cadastro")</f>
        <v>ADOÇANTES</v>
      </c>
      <c r="D203" s="4" t="str">
        <f>IFERROR(VLOOKUP(Tabela1[[#This Row],[Código]],Cadastro!$A:$J,3,0),"Sem Cadastro")</f>
        <v>SUCRALOSE</v>
      </c>
      <c r="E203" s="4" t="str">
        <f>IFERROR(VLOOKUP(Tabela1[[#This Row],[Código]],Cadastro!$A:$J,4,0),"Sem Cadastro")</f>
        <v>SUCRALOSE PÓ</v>
      </c>
      <c r="F203" s="4" t="str">
        <f>IFERROR(VLOOKUP(Tabela1[[#This Row],[Código]],Cadastro!$A:$J,5,0),"Sem Cadastro")</f>
        <v>DESCONTINUADO</v>
      </c>
      <c r="G203" s="5" t="s">
        <v>59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3200</v>
      </c>
      <c r="P203" s="1">
        <v>3999.9999999999995</v>
      </c>
      <c r="Q203" s="1">
        <v>3216.092002626247</v>
      </c>
      <c r="R203" s="1">
        <v>3906.1211240672865</v>
      </c>
      <c r="S203" s="1">
        <v>2536</v>
      </c>
      <c r="T203" s="1">
        <v>2000.0000000000002</v>
      </c>
      <c r="U203" s="1">
        <v>2499.9999999999995</v>
      </c>
      <c r="V203" s="1">
        <v>615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</row>
    <row r="204" spans="1:48" x14ac:dyDescent="0.3">
      <c r="A204" s="4">
        <v>410025623</v>
      </c>
      <c r="B204" s="4" t="s">
        <v>286</v>
      </c>
      <c r="C204" s="4" t="str">
        <f>IFERROR(VLOOKUP(Tabela1[[#This Row],[Código]],Cadastro!$A:$J,2,0),"Sem Cadastro")</f>
        <v>ADOÇANTES</v>
      </c>
      <c r="D204" s="4" t="str">
        <f>IFERROR(VLOOKUP(Tabela1[[#This Row],[Código]],Cadastro!$A:$J,3,0),"Sem Cadastro")</f>
        <v>SUCRALOSE</v>
      </c>
      <c r="E204" s="4" t="str">
        <f>IFERROR(VLOOKUP(Tabela1[[#This Row],[Código]],Cadastro!$A:$J,4,0),"Sem Cadastro")</f>
        <v>SUCRALOSE PÓ</v>
      </c>
      <c r="F204" s="4" t="str">
        <f>IFERROR(VLOOKUP(Tabela1[[#This Row],[Código]],Cadastro!$A:$J,5,0),"Sem Cadastro")</f>
        <v>DESCONTINUADO</v>
      </c>
      <c r="G204" s="5" t="s">
        <v>59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111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</row>
    <row r="205" spans="1:48" x14ac:dyDescent="0.3">
      <c r="A205" s="4">
        <v>418025604</v>
      </c>
      <c r="B205" s="4" t="s">
        <v>287</v>
      </c>
      <c r="C205" s="4" t="str">
        <f>IFERROR(VLOOKUP(Tabela1[[#This Row],[Código]],Cadastro!$A:$J,2,0),"Sem Cadastro")</f>
        <v>ADOÇANTES</v>
      </c>
      <c r="D205" s="4" t="str">
        <f>IFERROR(VLOOKUP(Tabela1[[#This Row],[Código]],Cadastro!$A:$J,3,0),"Sem Cadastro")</f>
        <v>SUCRALOSE</v>
      </c>
      <c r="E205" s="4" t="str">
        <f>IFERROR(VLOOKUP(Tabela1[[#This Row],[Código]],Cadastro!$A:$J,4,0),"Sem Cadastro")</f>
        <v>SUCRALOSE PÓ</v>
      </c>
      <c r="F205" s="4" t="str">
        <f>IFERROR(VLOOKUP(Tabela1[[#This Row],[Código]],Cadastro!$A:$J,5,0),"Sem Cadastro")</f>
        <v>DESCONTINUADO</v>
      </c>
      <c r="G205" s="5" t="s">
        <v>59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1">
        <v>0</v>
      </c>
      <c r="AT205" s="1">
        <v>3203</v>
      </c>
      <c r="AU205" s="1">
        <v>2203</v>
      </c>
      <c r="AV205" s="1">
        <v>1728</v>
      </c>
    </row>
    <row r="206" spans="1:48" x14ac:dyDescent="0.3">
      <c r="A206" s="4">
        <v>410025625</v>
      </c>
      <c r="B206" s="4" t="s">
        <v>288</v>
      </c>
      <c r="C206" s="4" t="str">
        <f>IFERROR(VLOOKUP(Tabela1[[#This Row],[Código]],Cadastro!$A:$J,2,0),"Sem Cadastro")</f>
        <v>ADOÇANTES</v>
      </c>
      <c r="D206" s="4" t="str">
        <f>IFERROR(VLOOKUP(Tabela1[[#This Row],[Código]],Cadastro!$A:$J,3,0),"Sem Cadastro")</f>
        <v>SUCRALOSE</v>
      </c>
      <c r="E206" s="4" t="str">
        <f>IFERROR(VLOOKUP(Tabela1[[#This Row],[Código]],Cadastro!$A:$J,4,0),"Sem Cadastro")</f>
        <v>SUCRALOSE PÓ</v>
      </c>
      <c r="F206" s="4" t="str">
        <f>IFERROR(VLOOKUP(Tabela1[[#This Row],[Código]],Cadastro!$A:$J,5,0),"Sem Cadastro")</f>
        <v>DESCONTINUADO</v>
      </c>
      <c r="G206" s="5" t="s">
        <v>59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70</v>
      </c>
      <c r="O206" s="1">
        <v>0</v>
      </c>
      <c r="P206" s="1">
        <v>70</v>
      </c>
      <c r="Q206" s="1">
        <v>68.916257199133867</v>
      </c>
      <c r="R206" s="1">
        <v>65.102018734454774</v>
      </c>
      <c r="S206" s="1">
        <v>90</v>
      </c>
      <c r="T206" s="1">
        <v>100</v>
      </c>
      <c r="U206" s="1">
        <v>100</v>
      </c>
      <c r="V206" s="1">
        <v>100</v>
      </c>
      <c r="W206" s="1">
        <v>115</v>
      </c>
      <c r="X206" s="1">
        <v>115</v>
      </c>
      <c r="Y206" s="1">
        <v>126</v>
      </c>
      <c r="Z206" s="1">
        <v>132</v>
      </c>
      <c r="AA206" s="1">
        <v>132</v>
      </c>
      <c r="AB206" s="1">
        <v>100</v>
      </c>
      <c r="AC206" s="1">
        <v>98</v>
      </c>
      <c r="AD206" s="1">
        <v>100</v>
      </c>
      <c r="AE206" s="1">
        <v>100</v>
      </c>
      <c r="AF206" s="1">
        <v>86</v>
      </c>
      <c r="AG206" s="1">
        <v>109.76968999999998</v>
      </c>
      <c r="AH206" s="1">
        <v>113.26553999999999</v>
      </c>
      <c r="AI206" s="1">
        <v>111.86719999999998</v>
      </c>
      <c r="AJ206" s="1">
        <v>66</v>
      </c>
      <c r="AK206" s="1">
        <v>72.264048339180434</v>
      </c>
      <c r="AL206" s="1">
        <v>95.0514233432</v>
      </c>
      <c r="AM206" s="1">
        <v>95.151316043424202</v>
      </c>
      <c r="AN206" s="1">
        <v>104.04397529767634</v>
      </c>
      <c r="AO206" s="1">
        <v>31.702640291351106</v>
      </c>
      <c r="AP206" s="1">
        <v>45.087627505576066</v>
      </c>
      <c r="AQ206" s="1">
        <v>38.815607369632261</v>
      </c>
      <c r="AR206" s="1">
        <v>25</v>
      </c>
      <c r="AS206" s="1">
        <v>30</v>
      </c>
      <c r="AT206" s="1">
        <v>40</v>
      </c>
      <c r="AU206" s="1">
        <v>40</v>
      </c>
      <c r="AV206" s="1">
        <v>45</v>
      </c>
    </row>
    <row r="207" spans="1:48" x14ac:dyDescent="0.3">
      <c r="A207" s="4">
        <v>410026326</v>
      </c>
      <c r="B207" s="4" t="s">
        <v>289</v>
      </c>
      <c r="C207" s="4" t="str">
        <f>IFERROR(VLOOKUP(Tabela1[[#This Row],[Código]],Cadastro!$A:$J,2,0),"Sem Cadastro")</f>
        <v>ADOÇANTES</v>
      </c>
      <c r="D207" s="4" t="str">
        <f>IFERROR(VLOOKUP(Tabela1[[#This Row],[Código]],Cadastro!$A:$J,3,0),"Sem Cadastro")</f>
        <v>SUCRALOSE</v>
      </c>
      <c r="E207" s="4" t="str">
        <f>IFERROR(VLOOKUP(Tabela1[[#This Row],[Código]],Cadastro!$A:$J,4,0),"Sem Cadastro")</f>
        <v>SUCRALOSE PÓ</v>
      </c>
      <c r="F207" s="4" t="str">
        <f>IFERROR(VLOOKUP(Tabela1[[#This Row],[Código]],Cadastro!$A:$J,5,0),"Sem Cadastro")</f>
        <v>DESCONTINUADO</v>
      </c>
      <c r="G207" s="5" t="s">
        <v>59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1053</v>
      </c>
      <c r="P207" s="1">
        <v>4500</v>
      </c>
      <c r="Q207" s="1">
        <v>3675.5337172871391</v>
      </c>
      <c r="R207" s="1">
        <v>3472.1076658375882</v>
      </c>
      <c r="S207" s="1">
        <v>2991</v>
      </c>
      <c r="T207" s="1">
        <v>2419.6065667908401</v>
      </c>
      <c r="U207" s="1">
        <v>2822.8743279226492</v>
      </c>
      <c r="V207" s="1">
        <v>3000</v>
      </c>
      <c r="W207" s="1">
        <v>621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</row>
    <row r="208" spans="1:48" x14ac:dyDescent="0.3">
      <c r="A208" s="4">
        <v>410026305</v>
      </c>
      <c r="B208" s="4" t="s">
        <v>290</v>
      </c>
      <c r="C208" s="4" t="str">
        <f>IFERROR(VLOOKUP(Tabela1[[#This Row],[Código]],Cadastro!$A:$J,2,0),"Sem Cadastro")</f>
        <v>ADOÇANTES</v>
      </c>
      <c r="D208" s="4" t="str">
        <f>IFERROR(VLOOKUP(Tabela1[[#This Row],[Código]],Cadastro!$A:$J,3,0),"Sem Cadastro")</f>
        <v>SUCRALOSE</v>
      </c>
      <c r="E208" s="4" t="str">
        <f>IFERROR(VLOOKUP(Tabela1[[#This Row],[Código]],Cadastro!$A:$J,4,0),"Sem Cadastro")</f>
        <v>SUCRALOSE PÓ</v>
      </c>
      <c r="F208" s="4" t="str">
        <f>IFERROR(VLOOKUP(Tabela1[[#This Row],[Código]],Cadastro!$A:$J,5,0),"Sem Cadastro")</f>
        <v>DESCONTINUADO</v>
      </c>
      <c r="G208" s="5" t="s">
        <v>59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1000.0000000000002</v>
      </c>
      <c r="Q208" s="1">
        <v>918.88342932178477</v>
      </c>
      <c r="R208" s="1">
        <v>1041.6322997512764</v>
      </c>
      <c r="S208" s="1">
        <v>700</v>
      </c>
      <c r="T208" s="1">
        <v>500</v>
      </c>
      <c r="U208" s="1">
        <v>800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</row>
    <row r="209" spans="1:48" x14ac:dyDescent="0.3">
      <c r="A209" s="4">
        <v>415025653</v>
      </c>
      <c r="B209" s="4" t="s">
        <v>291</v>
      </c>
      <c r="C209" s="4" t="str">
        <f>IFERROR(VLOOKUP(Tabela1[[#This Row],[Código]],Cadastro!$A:$J,2,0),"Sem Cadastro")</f>
        <v>ADOÇANTES</v>
      </c>
      <c r="D209" s="4" t="str">
        <f>IFERROR(VLOOKUP(Tabela1[[#This Row],[Código]],Cadastro!$A:$J,3,0),"Sem Cadastro")</f>
        <v>SUCRALOSE</v>
      </c>
      <c r="E209" s="4" t="str">
        <f>IFERROR(VLOOKUP(Tabela1[[#This Row],[Código]],Cadastro!$A:$J,4,0),"Sem Cadastro")</f>
        <v>SUCRALOSE PÓ</v>
      </c>
      <c r="F209" s="4" t="str">
        <f>IFERROR(VLOOKUP(Tabela1[[#This Row],[Código]],Cadastro!$A:$J,5,0),"Sem Cadastro")</f>
        <v>DESCONTINUADO</v>
      </c>
      <c r="G209" s="5" t="s">
        <v>59</v>
      </c>
      <c r="H209" s="1">
        <v>550</v>
      </c>
      <c r="I209" s="1">
        <v>800</v>
      </c>
      <c r="J209" s="1">
        <v>634.42990150525816</v>
      </c>
      <c r="K209" s="1">
        <v>682</v>
      </c>
      <c r="L209" s="1">
        <v>1177.3867654575884</v>
      </c>
      <c r="M209" s="1">
        <v>152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</row>
    <row r="210" spans="1:48" x14ac:dyDescent="0.3">
      <c r="A210" s="4">
        <v>410025699</v>
      </c>
      <c r="B210" s="4" t="s">
        <v>292</v>
      </c>
      <c r="C210" s="4" t="str">
        <f>IFERROR(VLOOKUP(Tabela1[[#This Row],[Código]],Cadastro!$A:$J,2,0),"Sem Cadastro")</f>
        <v>ADOÇANTES</v>
      </c>
      <c r="D210" s="4" t="str">
        <f>IFERROR(VLOOKUP(Tabela1[[#This Row],[Código]],Cadastro!$A:$J,3,0),"Sem Cadastro")</f>
        <v>SUCRALOSE</v>
      </c>
      <c r="E210" s="4" t="str">
        <f>IFERROR(VLOOKUP(Tabela1[[#This Row],[Código]],Cadastro!$A:$J,4,0),"Sem Cadastro")</f>
        <v>SUCRALOSE PÓ</v>
      </c>
      <c r="F210" s="4" t="str">
        <f>IFERROR(VLOOKUP(Tabela1[[#This Row],[Código]],Cadastro!$A:$J,5,0),"Sem Cadastro")</f>
        <v>DESCONTINUADO</v>
      </c>
      <c r="G210" s="5" t="s">
        <v>59</v>
      </c>
      <c r="H210" s="1">
        <v>56</v>
      </c>
      <c r="I210" s="1">
        <v>34.231550513637323</v>
      </c>
      <c r="J210" s="1">
        <v>27.468419956706459</v>
      </c>
      <c r="K210" s="1">
        <v>38</v>
      </c>
      <c r="L210" s="1">
        <v>186.53657442513747</v>
      </c>
      <c r="M210" s="1">
        <v>118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</row>
    <row r="211" spans="1:48" x14ac:dyDescent="0.3">
      <c r="A211" s="4">
        <v>400020031</v>
      </c>
      <c r="B211" s="4" t="s">
        <v>293</v>
      </c>
      <c r="C211" s="4" t="str">
        <f>IFERROR(VLOOKUP(Tabela1[[#This Row],[Código]],Cadastro!$A:$J,2,0),"Sem Cadastro")</f>
        <v>ADOÇANTES</v>
      </c>
      <c r="D211" s="4" t="str">
        <f>IFERROR(VLOOKUP(Tabela1[[#This Row],[Código]],Cadastro!$A:$J,3,0),"Sem Cadastro")</f>
        <v>SUCRALOSE</v>
      </c>
      <c r="E211" s="4" t="str">
        <f>IFERROR(VLOOKUP(Tabela1[[#This Row],[Código]],Cadastro!$A:$J,4,0),"Sem Cadastro")</f>
        <v>SUCRALOSE PÓ</v>
      </c>
      <c r="F211" s="4" t="str">
        <f>IFERROR(VLOOKUP(Tabela1[[#This Row],[Código]],Cadastro!$A:$J,5,0),"Sem Cadastro")</f>
        <v>DESCONTINUADO</v>
      </c>
      <c r="G211" s="5" t="s">
        <v>59</v>
      </c>
      <c r="H211" s="1">
        <v>3295</v>
      </c>
      <c r="I211" s="1">
        <v>3993.0904821697322</v>
      </c>
      <c r="J211" s="1">
        <v>3072.4455638170384</v>
      </c>
      <c r="K211" s="1">
        <v>3495</v>
      </c>
      <c r="L211" s="1">
        <v>2058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</row>
    <row r="212" spans="1:48" x14ac:dyDescent="0.3">
      <c r="A212" s="4">
        <v>410085095</v>
      </c>
      <c r="B212" s="4" t="s">
        <v>294</v>
      </c>
      <c r="C212" s="4" t="str">
        <f>IFERROR(VLOOKUP(Tabela1[[#This Row],[Código]],Cadastro!$A:$J,2,0),"Sem Cadastro")</f>
        <v>ADOÇANTES</v>
      </c>
      <c r="D212" s="4" t="str">
        <f>IFERROR(VLOOKUP(Tabela1[[#This Row],[Código]],Cadastro!$A:$J,3,0),"Sem Cadastro")</f>
        <v>SWEET NATURAL</v>
      </c>
      <c r="E212" s="4" t="str">
        <f>IFERROR(VLOOKUP(Tabela1[[#This Row],[Código]],Cadastro!$A:$J,4,0),"Sem Cadastro")</f>
        <v>SWEET NATURAL CULINÁRIO</v>
      </c>
      <c r="F212" s="4" t="str">
        <f>IFERROR(VLOOKUP(Tabela1[[#This Row],[Código]],Cadastro!$A:$J,5,0),"Sem Cadastro")</f>
        <v>DESCONTINUADO</v>
      </c>
      <c r="G212" s="5" t="s">
        <v>295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104</v>
      </c>
      <c r="X212" s="1">
        <v>200</v>
      </c>
      <c r="Y212" s="1">
        <v>130</v>
      </c>
      <c r="Z212" s="1">
        <v>0</v>
      </c>
      <c r="AA212" s="1">
        <v>0</v>
      </c>
      <c r="AB212" s="1">
        <v>100</v>
      </c>
      <c r="AC212" s="1">
        <v>49</v>
      </c>
      <c r="AD212" s="1">
        <v>75</v>
      </c>
      <c r="AE212" s="1">
        <v>75</v>
      </c>
      <c r="AF212" s="1">
        <v>54</v>
      </c>
      <c r="AG212" s="1">
        <v>70.300871249999972</v>
      </c>
      <c r="AH212" s="1">
        <v>25</v>
      </c>
      <c r="AI212" s="1">
        <v>35</v>
      </c>
      <c r="AJ212" s="1">
        <v>58.546666927730215</v>
      </c>
      <c r="AK212" s="1">
        <v>61.405835578436225</v>
      </c>
      <c r="AL212" s="1">
        <v>7.3655214015773929</v>
      </c>
      <c r="AM212" s="1">
        <v>18.128990446017173</v>
      </c>
      <c r="AN212" s="1">
        <v>18.7544839974097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</row>
    <row r="213" spans="1:48" x14ac:dyDescent="0.3">
      <c r="A213" s="4">
        <v>410025080</v>
      </c>
      <c r="B213" s="4" t="s">
        <v>296</v>
      </c>
      <c r="C213" s="4" t="str">
        <f>IFERROR(VLOOKUP(Tabela1[[#This Row],[Código]],Cadastro!$A:$J,2,0),"Sem Cadastro")</f>
        <v>ADOÇANTES</v>
      </c>
      <c r="D213" s="4" t="str">
        <f>IFERROR(VLOOKUP(Tabela1[[#This Row],[Código]],Cadastro!$A:$J,3,0),"Sem Cadastro")</f>
        <v>SWEET NATURAL</v>
      </c>
      <c r="E213" s="4" t="str">
        <f>IFERROR(VLOOKUP(Tabela1[[#This Row],[Código]],Cadastro!$A:$J,4,0),"Sem Cadastro")</f>
        <v>SWEET NATURAL INSTITUCIONAL</v>
      </c>
      <c r="F213" s="4" t="str">
        <f>IFERROR(VLOOKUP(Tabela1[[#This Row],[Código]],Cadastro!$A:$J,5,0),"Sem Cadastro")</f>
        <v>DESCONTINUADO</v>
      </c>
      <c r="G213" s="5" t="s">
        <v>297</v>
      </c>
      <c r="H213" s="1">
        <v>92</v>
      </c>
      <c r="I213" s="1">
        <v>20</v>
      </c>
      <c r="J213" s="1">
        <v>28.941954089650906</v>
      </c>
      <c r="K213" s="1">
        <v>28</v>
      </c>
      <c r="L213" s="1">
        <v>9.0259632786356843</v>
      </c>
      <c r="M213" s="1">
        <v>0</v>
      </c>
      <c r="N213" s="1">
        <v>0</v>
      </c>
      <c r="O213" s="1">
        <v>0</v>
      </c>
      <c r="P213" s="1">
        <v>150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39</v>
      </c>
      <c r="W213" s="1">
        <v>50</v>
      </c>
      <c r="X213" s="1">
        <v>75</v>
      </c>
      <c r="Y213" s="1">
        <v>75</v>
      </c>
      <c r="Z213" s="1">
        <v>53</v>
      </c>
      <c r="AA213" s="1">
        <v>53</v>
      </c>
      <c r="AB213" s="1">
        <v>0</v>
      </c>
      <c r="AC213" s="1">
        <v>20</v>
      </c>
      <c r="AD213" s="1">
        <v>20</v>
      </c>
      <c r="AE213" s="1">
        <v>20</v>
      </c>
      <c r="AF213" s="1">
        <v>0</v>
      </c>
      <c r="AG213" s="1">
        <v>0</v>
      </c>
      <c r="AH213" s="1">
        <v>0</v>
      </c>
      <c r="AI213" s="1">
        <v>20.000000000000004</v>
      </c>
      <c r="AJ213" s="1">
        <v>26.384125981223175</v>
      </c>
      <c r="AK213" s="1">
        <v>21.679214501754128</v>
      </c>
      <c r="AL213" s="1">
        <v>34.990594870967904</v>
      </c>
      <c r="AM213" s="1">
        <v>37.889889459837917</v>
      </c>
      <c r="AN213" s="1">
        <v>41.357797612654934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</row>
    <row r="214" spans="1:48" x14ac:dyDescent="0.3">
      <c r="A214" s="4">
        <v>410015091</v>
      </c>
      <c r="B214" s="4" t="s">
        <v>298</v>
      </c>
      <c r="C214" s="4" t="str">
        <f>IFERROR(VLOOKUP(Tabela1[[#This Row],[Código]],Cadastro!$A:$J,2,0),"Sem Cadastro")</f>
        <v>ADOÇANTES</v>
      </c>
      <c r="D214" s="4" t="str">
        <f>IFERROR(VLOOKUP(Tabela1[[#This Row],[Código]],Cadastro!$A:$J,3,0),"Sem Cadastro")</f>
        <v>SWEET NATURAL</v>
      </c>
      <c r="E214" s="4" t="str">
        <f>IFERROR(VLOOKUP(Tabela1[[#This Row],[Código]],Cadastro!$A:$J,4,0),"Sem Cadastro")</f>
        <v>SWEET NATURAL LÍQUIDO</v>
      </c>
      <c r="F214" s="4" t="str">
        <f>IFERROR(VLOOKUP(Tabela1[[#This Row],[Código]],Cadastro!$A:$J,5,0),"Sem Cadastro")</f>
        <v>DESCONTINUADO</v>
      </c>
      <c r="G214" s="5" t="s">
        <v>299</v>
      </c>
      <c r="H214" s="1">
        <v>229.20260231621</v>
      </c>
      <c r="I214" s="1">
        <v>326.55527978186478</v>
      </c>
      <c r="J214" s="1">
        <v>224.27059507833599</v>
      </c>
      <c r="K214" s="1">
        <v>308</v>
      </c>
      <c r="L214" s="1">
        <v>430.237582948301</v>
      </c>
      <c r="M214" s="1">
        <v>275</v>
      </c>
      <c r="N214" s="1">
        <v>220</v>
      </c>
      <c r="O214" s="1">
        <v>320</v>
      </c>
      <c r="P214" s="1">
        <v>350</v>
      </c>
      <c r="Q214" s="1">
        <v>344.5812859956693</v>
      </c>
      <c r="R214" s="1">
        <v>347.21076658375881</v>
      </c>
      <c r="S214" s="1">
        <v>232</v>
      </c>
      <c r="T214" s="1">
        <v>250</v>
      </c>
      <c r="U214" s="1">
        <v>250</v>
      </c>
      <c r="V214" s="1">
        <v>275.28999999999996</v>
      </c>
      <c r="W214" s="1">
        <v>250</v>
      </c>
      <c r="X214" s="1">
        <v>220</v>
      </c>
      <c r="Y214" s="1">
        <v>220</v>
      </c>
      <c r="Z214" s="1">
        <v>273</v>
      </c>
      <c r="AA214" s="1">
        <v>273</v>
      </c>
      <c r="AB214" s="1">
        <v>250</v>
      </c>
      <c r="AC214" s="1">
        <v>110</v>
      </c>
      <c r="AD214" s="1">
        <v>200</v>
      </c>
      <c r="AE214" s="1">
        <v>160</v>
      </c>
      <c r="AF214" s="1">
        <v>118</v>
      </c>
      <c r="AG214" s="1">
        <v>173.76328250000003</v>
      </c>
      <c r="AH214" s="1">
        <v>125</v>
      </c>
      <c r="AI214" s="1">
        <v>125.00000000000003</v>
      </c>
      <c r="AJ214" s="1">
        <v>129.42364527497506</v>
      </c>
      <c r="AK214" s="1">
        <v>167.51706696328668</v>
      </c>
      <c r="AL214" s="1">
        <v>192.12183393298653</v>
      </c>
      <c r="AM214" s="1">
        <v>177.19044478597209</v>
      </c>
      <c r="AN214" s="1">
        <v>199.46984248750653</v>
      </c>
      <c r="AO214" s="1">
        <v>144.18346479600879</v>
      </c>
      <c r="AP214" s="1">
        <v>143.6567048438117</v>
      </c>
      <c r="AQ214" s="1">
        <v>110.04085436997866</v>
      </c>
      <c r="AR214" s="1">
        <v>115</v>
      </c>
      <c r="AS214" s="1">
        <v>127</v>
      </c>
      <c r="AT214" s="1">
        <v>0</v>
      </c>
      <c r="AU214" s="1">
        <v>0</v>
      </c>
      <c r="AV214" s="1">
        <v>0</v>
      </c>
    </row>
    <row r="215" spans="1:48" x14ac:dyDescent="0.3">
      <c r="A215" s="4">
        <v>410015092</v>
      </c>
      <c r="B215" s="4" t="s">
        <v>300</v>
      </c>
      <c r="C215" s="4" t="str">
        <f>IFERROR(VLOOKUP(Tabela1[[#This Row],[Código]],Cadastro!$A:$J,2,0),"Sem Cadastro")</f>
        <v>ADOÇANTES</v>
      </c>
      <c r="D215" s="4" t="str">
        <f>IFERROR(VLOOKUP(Tabela1[[#This Row],[Código]],Cadastro!$A:$J,3,0),"Sem Cadastro")</f>
        <v>SWEET NATURAL</v>
      </c>
      <c r="E215" s="4" t="str">
        <f>IFERROR(VLOOKUP(Tabela1[[#This Row],[Código]],Cadastro!$A:$J,4,0),"Sem Cadastro")</f>
        <v>SWEET NATURAL LÍQUIDO</v>
      </c>
      <c r="F215" s="4" t="str">
        <f>IFERROR(VLOOKUP(Tabela1[[#This Row],[Código]],Cadastro!$A:$J,5,0),"Sem Cadastro")</f>
        <v>DESCONTINUADO</v>
      </c>
      <c r="G215" s="5" t="s">
        <v>299</v>
      </c>
      <c r="H215" s="1">
        <v>366.29574762684035</v>
      </c>
      <c r="I215" s="1">
        <v>779.24223121138129</v>
      </c>
      <c r="J215" s="1">
        <v>561.03297557478038</v>
      </c>
      <c r="K215" s="1">
        <v>432</v>
      </c>
      <c r="L215" s="1">
        <v>678.95301551515092</v>
      </c>
      <c r="M215" s="1">
        <v>450</v>
      </c>
      <c r="N215" s="1">
        <v>500</v>
      </c>
      <c r="O215" s="1">
        <v>600</v>
      </c>
      <c r="P215" s="1">
        <v>600</v>
      </c>
      <c r="Q215" s="1">
        <v>597.27422905916012</v>
      </c>
      <c r="R215" s="1">
        <v>607.61884152157791</v>
      </c>
      <c r="S215" s="1">
        <v>508</v>
      </c>
      <c r="T215" s="1">
        <v>400</v>
      </c>
      <c r="U215" s="1">
        <v>600</v>
      </c>
      <c r="V215" s="1">
        <v>635.86000000000013</v>
      </c>
      <c r="W215" s="1">
        <v>600</v>
      </c>
      <c r="X215" s="1">
        <v>550</v>
      </c>
      <c r="Y215" s="1">
        <v>400</v>
      </c>
      <c r="Z215" s="1">
        <v>564</v>
      </c>
      <c r="AA215" s="1">
        <v>564</v>
      </c>
      <c r="AB215" s="1">
        <v>400</v>
      </c>
      <c r="AC215" s="1">
        <v>259</v>
      </c>
      <c r="AD215" s="1">
        <v>300</v>
      </c>
      <c r="AE215" s="1">
        <v>300</v>
      </c>
      <c r="AF215" s="1">
        <v>215</v>
      </c>
      <c r="AG215" s="1">
        <v>326.42961150000019</v>
      </c>
      <c r="AH215" s="1">
        <v>200</v>
      </c>
      <c r="AI215" s="1">
        <v>220.00000000000017</v>
      </c>
      <c r="AJ215" s="1">
        <v>238.83394254956309</v>
      </c>
      <c r="AK215" s="1">
        <v>234.5850407997587</v>
      </c>
      <c r="AL215" s="1">
        <v>254.00848236577031</v>
      </c>
      <c r="AM215" s="1">
        <v>245.47885256949598</v>
      </c>
      <c r="AN215" s="1">
        <v>301.20510748147058</v>
      </c>
      <c r="AO215" s="1">
        <v>178.11365068614211</v>
      </c>
      <c r="AP215" s="1">
        <v>178.66204549785456</v>
      </c>
      <c r="AQ215" s="1">
        <v>138.79924877352059</v>
      </c>
      <c r="AR215" s="1">
        <v>154</v>
      </c>
      <c r="AS215" s="1">
        <v>171</v>
      </c>
      <c r="AT215" s="1">
        <v>0</v>
      </c>
      <c r="AU215" s="1">
        <v>0</v>
      </c>
      <c r="AV215" s="1">
        <v>0</v>
      </c>
    </row>
    <row r="216" spans="1:48" x14ac:dyDescent="0.3">
      <c r="A216" s="4">
        <v>410025093</v>
      </c>
      <c r="B216" s="4" t="s">
        <v>301</v>
      </c>
      <c r="C216" s="4" t="str">
        <f>IFERROR(VLOOKUP(Tabela1[[#This Row],[Código]],Cadastro!$A:$J,2,0),"Sem Cadastro")</f>
        <v>ADOÇANTES</v>
      </c>
      <c r="D216" s="4" t="str">
        <f>IFERROR(VLOOKUP(Tabela1[[#This Row],[Código]],Cadastro!$A:$J,3,0),"Sem Cadastro")</f>
        <v>SWEET NATURAL</v>
      </c>
      <c r="E216" s="4" t="str">
        <f>IFERROR(VLOOKUP(Tabela1[[#This Row],[Código]],Cadastro!$A:$J,4,0),"Sem Cadastro")</f>
        <v>SWEET NATURAL PO</v>
      </c>
      <c r="F216" s="4" t="str">
        <f>IFERROR(VLOOKUP(Tabela1[[#This Row],[Código]],Cadastro!$A:$J,5,0),"Sem Cadastro")</f>
        <v>DESCONTINUADO</v>
      </c>
      <c r="G216" s="5" t="s">
        <v>302</v>
      </c>
      <c r="H216" s="1">
        <v>164.94019045185203</v>
      </c>
      <c r="I216" s="1">
        <v>211.8367865364242</v>
      </c>
      <c r="J216" s="1">
        <v>155.03770023922561</v>
      </c>
      <c r="K216" s="1">
        <v>178</v>
      </c>
      <c r="L216" s="1">
        <v>270.77889835907058</v>
      </c>
      <c r="M216" s="1">
        <v>225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150</v>
      </c>
      <c r="W216" s="1">
        <v>150</v>
      </c>
      <c r="X216" s="1">
        <v>220</v>
      </c>
      <c r="Y216" s="1">
        <v>220</v>
      </c>
      <c r="Z216" s="1">
        <v>162</v>
      </c>
      <c r="AA216" s="1">
        <v>162</v>
      </c>
      <c r="AB216" s="1">
        <v>0</v>
      </c>
      <c r="AC216" s="1">
        <v>74</v>
      </c>
      <c r="AD216" s="1">
        <v>70</v>
      </c>
      <c r="AE216" s="1">
        <v>70</v>
      </c>
      <c r="AF216" s="1">
        <v>75</v>
      </c>
      <c r="AG216" s="1">
        <v>73.280978750000017</v>
      </c>
      <c r="AH216" s="1">
        <v>65</v>
      </c>
      <c r="AI216" s="1">
        <v>54.999999999999986</v>
      </c>
      <c r="AJ216" s="1">
        <v>59.429430900005592</v>
      </c>
      <c r="AK216" s="1">
        <v>40.189702462554678</v>
      </c>
      <c r="AL216" s="1">
        <v>46.92336359188856</v>
      </c>
      <c r="AM216" s="1">
        <v>49.853368282182757</v>
      </c>
      <c r="AN216" s="1">
        <v>68.43704669376811</v>
      </c>
      <c r="AO216" s="1">
        <v>44.146067914442717</v>
      </c>
      <c r="AP216" s="1">
        <v>85.5386438822825</v>
      </c>
      <c r="AQ216" s="1">
        <v>65.385268145267716</v>
      </c>
      <c r="AR216" s="1">
        <v>35</v>
      </c>
      <c r="AS216" s="1">
        <v>38</v>
      </c>
      <c r="AT216" s="1">
        <v>0</v>
      </c>
      <c r="AU216" s="1">
        <v>0</v>
      </c>
      <c r="AV216" s="1">
        <v>0</v>
      </c>
    </row>
    <row r="217" spans="1:48" x14ac:dyDescent="0.3">
      <c r="A217" s="4">
        <v>410085094</v>
      </c>
      <c r="B217" s="4" t="s">
        <v>303</v>
      </c>
      <c r="C217" s="4" t="str">
        <f>IFERROR(VLOOKUP(Tabela1[[#This Row],[Código]],Cadastro!$A:$J,2,0),"Sem Cadastro")</f>
        <v>ADOÇANTES</v>
      </c>
      <c r="D217" s="4" t="str">
        <f>IFERROR(VLOOKUP(Tabela1[[#This Row],[Código]],Cadastro!$A:$J,3,0),"Sem Cadastro")</f>
        <v>SWEET NATURAL</v>
      </c>
      <c r="E217" s="4" t="str">
        <f>IFERROR(VLOOKUP(Tabela1[[#This Row],[Código]],Cadastro!$A:$J,4,0),"Sem Cadastro")</f>
        <v>SWEET NATURAL CULINÁRIO</v>
      </c>
      <c r="F217" s="4" t="str">
        <f>IFERROR(VLOOKUP(Tabela1[[#This Row],[Código]],Cadastro!$A:$J,5,0),"Sem Cadastro")</f>
        <v>DESCONTINUADO</v>
      </c>
      <c r="G217" s="5" t="s">
        <v>295</v>
      </c>
      <c r="H217" s="1">
        <v>138.1641855083696</v>
      </c>
      <c r="I217" s="1">
        <v>214.18490673563034</v>
      </c>
      <c r="J217" s="1">
        <v>191.13098064736536</v>
      </c>
      <c r="K217" s="1">
        <v>190</v>
      </c>
      <c r="L217" s="1">
        <v>246.7096629493754</v>
      </c>
      <c r="M217" s="1">
        <v>269</v>
      </c>
      <c r="N217" s="1">
        <v>250</v>
      </c>
      <c r="O217" s="1">
        <v>300</v>
      </c>
      <c r="P217" s="1">
        <v>250</v>
      </c>
      <c r="Q217" s="1">
        <v>221.00000000000003</v>
      </c>
      <c r="R217" s="1">
        <v>260.40807493781909</v>
      </c>
      <c r="S217" s="1">
        <v>244</v>
      </c>
      <c r="T217" s="1">
        <v>200</v>
      </c>
      <c r="U217" s="1">
        <v>199.99999999999997</v>
      </c>
      <c r="V217" s="1">
        <v>200</v>
      </c>
      <c r="W217" s="1">
        <v>96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</row>
    <row r="218" spans="1:48" x14ac:dyDescent="0.3">
      <c r="A218" s="4">
        <v>410121509</v>
      </c>
      <c r="B218" s="4" t="s">
        <v>304</v>
      </c>
      <c r="C218" s="4" t="str">
        <f>IFERROR(VLOOKUP(Tabela1[[#This Row],[Código]],Cadastro!$A:$J,2,0),"Sem Cadastro")</f>
        <v>ALIMENTOS</v>
      </c>
      <c r="D218" s="4" t="str">
        <f>IFERROR(VLOOKUP(Tabela1[[#This Row],[Código]],Cadastro!$A:$J,3,0),"Sem Cadastro")</f>
        <v>WAFFER HUMMM</v>
      </c>
      <c r="E218" s="4" t="str">
        <f>IFERROR(VLOOKUP(Tabela1[[#This Row],[Código]],Cadastro!$A:$J,4,0),"Sem Cadastro")</f>
        <v>WAFFER HUMMM</v>
      </c>
      <c r="F218" s="4" t="str">
        <f>IFERROR(VLOOKUP(Tabela1[[#This Row],[Código]],Cadastro!$A:$J,5,0),"Sem Cadastro")</f>
        <v>DESCONTINUADO</v>
      </c>
      <c r="G218" s="5" t="s">
        <v>305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146.11856105757289</v>
      </c>
      <c r="AO218" s="1">
        <v>407.59363161678442</v>
      </c>
      <c r="AP218" s="1">
        <v>43.82190586386006</v>
      </c>
      <c r="AQ218" s="1">
        <v>34.864475183703249</v>
      </c>
      <c r="AR218" s="1">
        <v>26</v>
      </c>
      <c r="AS218" s="1">
        <v>0</v>
      </c>
      <c r="AT218" s="1">
        <v>0</v>
      </c>
      <c r="AU218" s="1">
        <v>0</v>
      </c>
      <c r="AV218" s="1">
        <v>0</v>
      </c>
    </row>
    <row r="219" spans="1:48" x14ac:dyDescent="0.3">
      <c r="A219" s="4">
        <v>410120509</v>
      </c>
      <c r="B219" s="4" t="s">
        <v>306</v>
      </c>
      <c r="C219" s="4" t="str">
        <f>IFERROR(VLOOKUP(Tabela1[[#This Row],[Código]],Cadastro!$A:$J,2,0),"Sem Cadastro")</f>
        <v>ALIMENTOS</v>
      </c>
      <c r="D219" s="4" t="str">
        <f>IFERROR(VLOOKUP(Tabela1[[#This Row],[Código]],Cadastro!$A:$J,3,0),"Sem Cadastro")</f>
        <v>WAFFER HUMMM</v>
      </c>
      <c r="E219" s="4" t="str">
        <f>IFERROR(VLOOKUP(Tabela1[[#This Row],[Código]],Cadastro!$A:$J,4,0),"Sem Cadastro")</f>
        <v>WAFFER HUMMM</v>
      </c>
      <c r="F219" s="4" t="str">
        <f>IFERROR(VLOOKUP(Tabela1[[#This Row],[Código]],Cadastro!$A:$J,5,0),"Sem Cadastro")</f>
        <v>DESCONTINUADO</v>
      </c>
      <c r="G219" s="5" t="s">
        <v>305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147.68436561405539</v>
      </c>
      <c r="AO219" s="1">
        <v>436.57951441061886</v>
      </c>
      <c r="AP219" s="1">
        <v>43.891730437384666</v>
      </c>
      <c r="AQ219" s="1">
        <v>34.912314726090678</v>
      </c>
      <c r="AR219" s="1">
        <v>25</v>
      </c>
      <c r="AS219" s="1">
        <v>0</v>
      </c>
      <c r="AT219" s="1">
        <v>0</v>
      </c>
      <c r="AU219" s="1">
        <v>0</v>
      </c>
      <c r="AV219" s="1">
        <v>0</v>
      </c>
    </row>
    <row r="220" spans="1:48" x14ac:dyDescent="0.3">
      <c r="A220" s="4">
        <v>410140034</v>
      </c>
      <c r="B220" s="4" t="s">
        <v>307</v>
      </c>
      <c r="C220" s="4" t="str">
        <f>IFERROR(VLOOKUP(Tabela1[[#This Row],[Código]],Cadastro!$A:$J,2,0),"Sem Cadastro")</f>
        <v>SUPLEMENTOS</v>
      </c>
      <c r="D220" s="4" t="str">
        <f>IFERROR(VLOOKUP(Tabela1[[#This Row],[Código]],Cadastro!$A:$J,3,0),"Sem Cadastro")</f>
        <v>WHEY PROTEIN</v>
      </c>
      <c r="E220" s="4" t="str">
        <f>IFERROR(VLOOKUP(Tabela1[[#This Row],[Código]],Cadastro!$A:$J,4,0),"Sem Cadastro")</f>
        <v>WHEY PROTEIN CONCENTRADO</v>
      </c>
      <c r="F220" s="4" t="str">
        <f>IFERROR(VLOOKUP(Tabela1[[#This Row],[Código]],Cadastro!$A:$J,5,0),"Sem Cadastro")</f>
        <v>DESCONTINUADO</v>
      </c>
      <c r="G220" s="5" t="s">
        <v>308</v>
      </c>
      <c r="H220" s="1">
        <v>59</v>
      </c>
      <c r="I220" s="1">
        <v>115</v>
      </c>
      <c r="J220" s="1">
        <v>78.667239434353817</v>
      </c>
      <c r="K220" s="1">
        <v>99</v>
      </c>
      <c r="L220" s="1">
        <v>58.167318906763299</v>
      </c>
      <c r="M220" s="1">
        <v>100</v>
      </c>
      <c r="N220" s="1">
        <v>146.41666666666666</v>
      </c>
      <c r="O220" s="1">
        <v>153.66666666666666</v>
      </c>
      <c r="P220" s="1">
        <v>140</v>
      </c>
      <c r="Q220" s="1">
        <v>101.30383513796237</v>
      </c>
      <c r="R220" s="1">
        <v>113.75377003278203</v>
      </c>
      <c r="S220" s="1">
        <v>110</v>
      </c>
      <c r="T220" s="1">
        <v>75</v>
      </c>
      <c r="U220" s="1">
        <v>75</v>
      </c>
      <c r="V220" s="1">
        <v>143.06000000000006</v>
      </c>
      <c r="W220" s="1">
        <v>130</v>
      </c>
      <c r="X220" s="1">
        <v>75</v>
      </c>
      <c r="Y220" s="1">
        <v>75</v>
      </c>
      <c r="Z220" s="1">
        <v>62</v>
      </c>
      <c r="AA220" s="1">
        <v>62</v>
      </c>
      <c r="AB220" s="1">
        <v>30</v>
      </c>
      <c r="AC220" s="1">
        <v>40</v>
      </c>
      <c r="AD220" s="1">
        <v>15</v>
      </c>
      <c r="AE220" s="1">
        <v>15</v>
      </c>
      <c r="AF220" s="1">
        <v>20</v>
      </c>
      <c r="AG220" s="1">
        <v>20.146575000000002</v>
      </c>
      <c r="AH220" s="1">
        <v>16</v>
      </c>
      <c r="AI220" s="1">
        <v>0</v>
      </c>
      <c r="AJ220" s="1">
        <v>25.588399999999996</v>
      </c>
      <c r="AK220" s="1">
        <v>26.900087270436156</v>
      </c>
      <c r="AL220" s="1">
        <v>35.304133685899423</v>
      </c>
      <c r="AM220" s="1">
        <v>35.921312399311397</v>
      </c>
      <c r="AN220" s="1">
        <v>43.253744660228719</v>
      </c>
      <c r="AO220" s="1">
        <v>38.271830866825134</v>
      </c>
      <c r="AP220" s="1">
        <v>2.2058467849099137</v>
      </c>
      <c r="AQ220" s="1">
        <v>2.6568715979731032</v>
      </c>
      <c r="AR220" s="1">
        <v>4</v>
      </c>
      <c r="AS220" s="1">
        <v>2</v>
      </c>
      <c r="AT220" s="1">
        <v>5</v>
      </c>
      <c r="AU220" s="1">
        <v>0</v>
      </c>
      <c r="AV220" s="1">
        <v>0</v>
      </c>
    </row>
    <row r="221" spans="1:48" x14ac:dyDescent="0.3">
      <c r="A221" s="4">
        <v>410140634</v>
      </c>
      <c r="B221" s="4" t="s">
        <v>309</v>
      </c>
      <c r="C221" s="4" t="str">
        <f>IFERROR(VLOOKUP(Tabela1[[#This Row],[Código]],Cadastro!$A:$J,2,0),"Sem Cadastro")</f>
        <v>SUPLEMENTOS</v>
      </c>
      <c r="D221" s="4" t="str">
        <f>IFERROR(VLOOKUP(Tabela1[[#This Row],[Código]],Cadastro!$A:$J,3,0),"Sem Cadastro")</f>
        <v>WHEY PROTEIN</v>
      </c>
      <c r="E221" s="4" t="str">
        <f>IFERROR(VLOOKUP(Tabela1[[#This Row],[Código]],Cadastro!$A:$J,4,0),"Sem Cadastro")</f>
        <v>WHEY PROTEIN ISOLADO E HIDROLISADO</v>
      </c>
      <c r="F221" s="4" t="str">
        <f>IFERROR(VLOOKUP(Tabela1[[#This Row],[Código]],Cadastro!$A:$J,5,0),"Sem Cadastro")</f>
        <v>DESCONTINUADO</v>
      </c>
      <c r="G221" s="5" t="s">
        <v>308</v>
      </c>
      <c r="H221" s="1">
        <v>38.999999999999993</v>
      </c>
      <c r="I221" s="1">
        <v>76</v>
      </c>
      <c r="J221" s="1">
        <v>41.785205151838994</v>
      </c>
      <c r="K221" s="1">
        <v>53</v>
      </c>
      <c r="L221" s="1">
        <v>20.057696174745963</v>
      </c>
      <c r="M221" s="1">
        <v>0</v>
      </c>
      <c r="N221" s="1">
        <v>233.33333333333334</v>
      </c>
      <c r="O221" s="1">
        <v>180</v>
      </c>
      <c r="P221" s="1">
        <v>75</v>
      </c>
      <c r="Q221" s="1">
        <v>68.916257199133867</v>
      </c>
      <c r="R221" s="1">
        <v>65.102018734454774</v>
      </c>
      <c r="S221" s="1">
        <v>91</v>
      </c>
      <c r="T221" s="1">
        <v>120</v>
      </c>
      <c r="U221" s="1">
        <v>120</v>
      </c>
      <c r="V221" s="1">
        <v>82</v>
      </c>
      <c r="W221" s="1">
        <v>120</v>
      </c>
      <c r="X221" s="1">
        <v>60</v>
      </c>
      <c r="Y221" s="1">
        <v>40</v>
      </c>
      <c r="Z221" s="1">
        <v>21</v>
      </c>
      <c r="AA221" s="1">
        <v>21</v>
      </c>
      <c r="AB221" s="1">
        <v>10</v>
      </c>
      <c r="AC221" s="1">
        <v>10</v>
      </c>
      <c r="AD221" s="1">
        <v>10</v>
      </c>
      <c r="AE221" s="1">
        <v>10</v>
      </c>
      <c r="AF221" s="1">
        <v>22</v>
      </c>
      <c r="AG221" s="1">
        <v>4.1413849999999996</v>
      </c>
      <c r="AH221" s="1">
        <v>15</v>
      </c>
      <c r="AI221" s="1">
        <v>0</v>
      </c>
      <c r="AJ221" s="1">
        <v>10.844985763998732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</row>
    <row r="222" spans="1:48" x14ac:dyDescent="0.3">
      <c r="A222" s="4">
        <v>410140633</v>
      </c>
      <c r="B222" s="4" t="s">
        <v>310</v>
      </c>
      <c r="C222" s="4" t="str">
        <f>IFERROR(VLOOKUP(Tabela1[[#This Row],[Código]],Cadastro!$A:$J,2,0),"Sem Cadastro")</f>
        <v>SUPLEMENTOS</v>
      </c>
      <c r="D222" s="4" t="str">
        <f>IFERROR(VLOOKUP(Tabela1[[#This Row],[Código]],Cadastro!$A:$J,3,0),"Sem Cadastro")</f>
        <v>WHEY PROTEIN</v>
      </c>
      <c r="E222" s="4" t="str">
        <f>IFERROR(VLOOKUP(Tabela1[[#This Row],[Código]],Cadastro!$A:$J,4,0),"Sem Cadastro")</f>
        <v>WHEY PROTEIN ISOLADO E HIDROLISADO</v>
      </c>
      <c r="F222" s="4" t="str">
        <f>IFERROR(VLOOKUP(Tabela1[[#This Row],[Código]],Cadastro!$A:$J,5,0),"Sem Cadastro")</f>
        <v>DESCONTINUADO</v>
      </c>
      <c r="G222" s="5" t="s">
        <v>308</v>
      </c>
      <c r="H222" s="1">
        <v>58.999999999999993</v>
      </c>
      <c r="I222" s="1">
        <v>115</v>
      </c>
      <c r="J222" s="1">
        <v>51.980965920606067</v>
      </c>
      <c r="K222" s="1">
        <v>60</v>
      </c>
      <c r="L222" s="1">
        <v>120.34617704847581</v>
      </c>
      <c r="M222" s="1">
        <v>120</v>
      </c>
      <c r="N222" s="1">
        <v>0</v>
      </c>
      <c r="O222" s="1">
        <v>100</v>
      </c>
      <c r="P222" s="1">
        <v>75</v>
      </c>
      <c r="Q222" s="1">
        <v>55.133005759307089</v>
      </c>
      <c r="R222" s="1">
        <v>0</v>
      </c>
      <c r="S222" s="1">
        <v>82</v>
      </c>
      <c r="T222" s="1">
        <v>50</v>
      </c>
      <c r="U222" s="1">
        <v>50</v>
      </c>
      <c r="V222" s="1">
        <v>51.009999999999991</v>
      </c>
      <c r="W222" s="1">
        <v>50</v>
      </c>
      <c r="X222" s="1">
        <v>45</v>
      </c>
      <c r="Y222" s="1">
        <v>45</v>
      </c>
      <c r="Z222" s="1">
        <v>53</v>
      </c>
      <c r="AA222" s="1">
        <v>53</v>
      </c>
      <c r="AB222" s="1">
        <v>30</v>
      </c>
      <c r="AC222" s="1">
        <v>25</v>
      </c>
      <c r="AD222" s="1">
        <v>15</v>
      </c>
      <c r="AE222" s="1">
        <v>15</v>
      </c>
      <c r="AF222" s="1">
        <v>11</v>
      </c>
      <c r="AG222" s="1">
        <v>12.264055000000006</v>
      </c>
      <c r="AH222" s="1">
        <v>15</v>
      </c>
      <c r="AI222" s="1">
        <v>0</v>
      </c>
      <c r="AJ222" s="1">
        <v>0</v>
      </c>
      <c r="AK222" s="1">
        <v>0</v>
      </c>
      <c r="AL222" s="1">
        <v>3.233656726280659</v>
      </c>
      <c r="AM222" s="1">
        <v>2.6547381682363747</v>
      </c>
      <c r="AN222" s="1">
        <v>9.1266857368562597</v>
      </c>
      <c r="AO222" s="1">
        <v>2.2322186152717478</v>
      </c>
      <c r="AP222" s="1">
        <v>11.722460494856431</v>
      </c>
      <c r="AQ222" s="1">
        <v>11.623213313069666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</row>
    <row r="223" spans="1:48" x14ac:dyDescent="0.3">
      <c r="A223" s="4">
        <v>410140234</v>
      </c>
      <c r="B223" s="4" t="s">
        <v>311</v>
      </c>
      <c r="C223" s="4" t="str">
        <f>IFERROR(VLOOKUP(Tabela1[[#This Row],[Código]],Cadastro!$A:$J,2,0),"Sem Cadastro")</f>
        <v>SUPLEMENTOS</v>
      </c>
      <c r="D223" s="4" t="str">
        <f>IFERROR(VLOOKUP(Tabela1[[#This Row],[Código]],Cadastro!$A:$J,3,0),"Sem Cadastro")</f>
        <v>WHEY PROTEIN</v>
      </c>
      <c r="E223" s="4" t="str">
        <f>IFERROR(VLOOKUP(Tabela1[[#This Row],[Código]],Cadastro!$A:$J,4,0),"Sem Cadastro")</f>
        <v>WHEY PROTEIN ISOLADO E HIDROLISADO</v>
      </c>
      <c r="F223" s="4" t="str">
        <f>IFERROR(VLOOKUP(Tabela1[[#This Row],[Código]],Cadastro!$A:$J,5,0),"Sem Cadastro")</f>
        <v>DESCONTINUADO</v>
      </c>
      <c r="G223" s="5" t="s">
        <v>308</v>
      </c>
      <c r="H223" s="1">
        <v>49</v>
      </c>
      <c r="I223" s="1">
        <v>96</v>
      </c>
      <c r="J223" s="1">
        <v>56.22925384827181</v>
      </c>
      <c r="K223" s="1">
        <v>71</v>
      </c>
      <c r="L223" s="1">
        <v>58.167318906763306</v>
      </c>
      <c r="M223" s="1">
        <v>0</v>
      </c>
      <c r="N223" s="1">
        <v>229.83333333333334</v>
      </c>
      <c r="O223" s="1">
        <v>180</v>
      </c>
      <c r="P223" s="1">
        <v>140</v>
      </c>
      <c r="Q223" s="1">
        <v>91.888342932178475</v>
      </c>
      <c r="R223" s="1">
        <v>86.802691645939703</v>
      </c>
      <c r="S223" s="1">
        <v>110</v>
      </c>
      <c r="T223" s="1">
        <v>120</v>
      </c>
      <c r="U223" s="1">
        <v>120</v>
      </c>
      <c r="V223" s="1">
        <v>129.09000000000009</v>
      </c>
      <c r="W223" s="1">
        <v>120</v>
      </c>
      <c r="X223" s="1">
        <v>100</v>
      </c>
      <c r="Y223" s="1">
        <v>75</v>
      </c>
      <c r="Z223" s="1">
        <v>68</v>
      </c>
      <c r="AA223" s="1">
        <v>68</v>
      </c>
      <c r="AB223" s="1">
        <v>40</v>
      </c>
      <c r="AC223" s="1">
        <v>79</v>
      </c>
      <c r="AD223" s="1">
        <v>50</v>
      </c>
      <c r="AE223" s="1">
        <v>50</v>
      </c>
      <c r="AF223" s="1">
        <v>22</v>
      </c>
      <c r="AG223" s="1">
        <v>25.389765000000004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</row>
    <row r="224" spans="1:48" x14ac:dyDescent="0.3">
      <c r="A224" s="4">
        <v>410140233</v>
      </c>
      <c r="B224" s="4" t="s">
        <v>312</v>
      </c>
      <c r="C224" s="4" t="str">
        <f>IFERROR(VLOOKUP(Tabela1[[#This Row],[Código]],Cadastro!$A:$J,2,0),"Sem Cadastro")</f>
        <v>SUPLEMENTOS</v>
      </c>
      <c r="D224" s="4" t="str">
        <f>IFERROR(VLOOKUP(Tabela1[[#This Row],[Código]],Cadastro!$A:$J,3,0),"Sem Cadastro")</f>
        <v>WHEY PROTEIN</v>
      </c>
      <c r="E224" s="4" t="str">
        <f>IFERROR(VLOOKUP(Tabela1[[#This Row],[Código]],Cadastro!$A:$J,4,0),"Sem Cadastro")</f>
        <v>WHEY PROTEIN ISOLADO E HIDROLISADO</v>
      </c>
      <c r="F224" s="4" t="str">
        <f>IFERROR(VLOOKUP(Tabela1[[#This Row],[Código]],Cadastro!$A:$J,5,0),"Sem Cadastro")</f>
        <v>DESCONTINUADO</v>
      </c>
      <c r="G224" s="5" t="s">
        <v>308</v>
      </c>
      <c r="H224" s="1">
        <v>49</v>
      </c>
      <c r="I224" s="1">
        <v>96</v>
      </c>
      <c r="J224" s="1">
        <v>53.510206048747463</v>
      </c>
      <c r="K224" s="1">
        <v>66</v>
      </c>
      <c r="L224" s="1">
        <v>125.3606010921623</v>
      </c>
      <c r="M224" s="1">
        <v>120</v>
      </c>
      <c r="N224" s="1">
        <v>0</v>
      </c>
      <c r="O224" s="1">
        <v>100</v>
      </c>
      <c r="P224" s="1">
        <v>100</v>
      </c>
      <c r="Q224" s="1">
        <v>68.916257199133867</v>
      </c>
      <c r="R224" s="1">
        <v>0</v>
      </c>
      <c r="S224" s="1">
        <v>0</v>
      </c>
      <c r="T224" s="1">
        <v>60</v>
      </c>
      <c r="U224" s="1">
        <v>60</v>
      </c>
      <c r="V224" s="1">
        <v>75</v>
      </c>
      <c r="W224" s="1">
        <v>75</v>
      </c>
      <c r="X224" s="1">
        <v>50</v>
      </c>
      <c r="Y224" s="1">
        <v>50</v>
      </c>
      <c r="Z224" s="1">
        <v>45</v>
      </c>
      <c r="AA224" s="1">
        <v>45</v>
      </c>
      <c r="AB224" s="1">
        <v>20</v>
      </c>
      <c r="AC224" s="1">
        <v>25</v>
      </c>
      <c r="AD224" s="1">
        <v>15</v>
      </c>
      <c r="AE224" s="1">
        <v>15</v>
      </c>
      <c r="AF224" s="1">
        <v>11</v>
      </c>
      <c r="AG224" s="1">
        <v>12.417915000000008</v>
      </c>
      <c r="AH224" s="1">
        <v>15</v>
      </c>
      <c r="AI224" s="1">
        <v>0</v>
      </c>
      <c r="AJ224" s="1">
        <v>0</v>
      </c>
      <c r="AK224" s="1">
        <v>0</v>
      </c>
      <c r="AL224" s="1">
        <v>3.3900389404744624</v>
      </c>
      <c r="AM224" s="1">
        <v>2.7831234199792565</v>
      </c>
      <c r="AN224" s="1">
        <v>5.9787659011871508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</row>
    <row r="225" spans="1:48" x14ac:dyDescent="0.3">
      <c r="A225" s="4">
        <v>410140534</v>
      </c>
      <c r="B225" s="4" t="s">
        <v>313</v>
      </c>
      <c r="C225" s="4" t="str">
        <f>IFERROR(VLOOKUP(Tabela1[[#This Row],[Código]],Cadastro!$A:$J,2,0),"Sem Cadastro")</f>
        <v>SUPLEMENTOS</v>
      </c>
      <c r="D225" s="4" t="str">
        <f>IFERROR(VLOOKUP(Tabela1[[#This Row],[Código]],Cadastro!$A:$J,3,0),"Sem Cadastro")</f>
        <v>WHEY PROTEIN</v>
      </c>
      <c r="E225" s="4" t="str">
        <f>IFERROR(VLOOKUP(Tabela1[[#This Row],[Código]],Cadastro!$A:$J,4,0),"Sem Cadastro")</f>
        <v>WHEY PROTEIN ISOLADO E HIDROLISADO</v>
      </c>
      <c r="F225" s="4" t="str">
        <f>IFERROR(VLOOKUP(Tabela1[[#This Row],[Código]],Cadastro!$A:$J,5,0),"Sem Cadastro")</f>
        <v>DESCONTINUADO</v>
      </c>
      <c r="G225" s="5" t="s">
        <v>308</v>
      </c>
      <c r="H225" s="1">
        <v>48.999999999999993</v>
      </c>
      <c r="I225" s="1">
        <v>72</v>
      </c>
      <c r="J225" s="1">
        <v>51.077853478393052</v>
      </c>
      <c r="K225" s="1">
        <v>71</v>
      </c>
      <c r="L225" s="1">
        <v>69.199051802873583</v>
      </c>
      <c r="M225" s="1">
        <v>0</v>
      </c>
      <c r="N225" s="1">
        <v>14.416666666666668</v>
      </c>
      <c r="O225" s="1">
        <v>50</v>
      </c>
      <c r="P225" s="1">
        <v>43.5</v>
      </c>
      <c r="Q225" s="1">
        <v>68.916257199133867</v>
      </c>
      <c r="R225" s="1">
        <v>65.102018734454774</v>
      </c>
      <c r="S225" s="1">
        <v>91</v>
      </c>
      <c r="T225" s="1">
        <v>100</v>
      </c>
      <c r="U225" s="1">
        <v>100</v>
      </c>
      <c r="V225" s="1">
        <v>50.309999999999967</v>
      </c>
      <c r="W225" s="1">
        <v>100</v>
      </c>
      <c r="X225" s="1">
        <v>60</v>
      </c>
      <c r="Y225" s="1">
        <v>0</v>
      </c>
      <c r="Z225" s="1">
        <v>48</v>
      </c>
      <c r="AA225" s="1">
        <v>48</v>
      </c>
      <c r="AB225" s="1">
        <v>30</v>
      </c>
      <c r="AC225" s="1">
        <v>20</v>
      </c>
      <c r="AD225" s="1">
        <v>15</v>
      </c>
      <c r="AE225" s="1">
        <v>15</v>
      </c>
      <c r="AF225" s="1">
        <v>17</v>
      </c>
      <c r="AG225" s="1">
        <v>14.787045000000004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</row>
    <row r="226" spans="1:48" x14ac:dyDescent="0.3">
      <c r="A226" s="4">
        <v>410140533</v>
      </c>
      <c r="B226" s="4" t="s">
        <v>314</v>
      </c>
      <c r="C226" s="4" t="str">
        <f>IFERROR(VLOOKUP(Tabela1[[#This Row],[Código]],Cadastro!$A:$J,2,0),"Sem Cadastro")</f>
        <v>SUPLEMENTOS</v>
      </c>
      <c r="D226" s="4" t="str">
        <f>IFERROR(VLOOKUP(Tabela1[[#This Row],[Código]],Cadastro!$A:$J,3,0),"Sem Cadastro")</f>
        <v>WHEY PROTEIN</v>
      </c>
      <c r="E226" s="4" t="str">
        <f>IFERROR(VLOOKUP(Tabela1[[#This Row],[Código]],Cadastro!$A:$J,4,0),"Sem Cadastro")</f>
        <v>WHEY PROTEIN ISOLADO E HIDROLISADO</v>
      </c>
      <c r="F226" s="4" t="str">
        <f>IFERROR(VLOOKUP(Tabela1[[#This Row],[Código]],Cadastro!$A:$J,5,0),"Sem Cadastro")</f>
        <v>DESCONTINUADO</v>
      </c>
      <c r="G226" s="5" t="s">
        <v>308</v>
      </c>
      <c r="H226" s="1">
        <v>49</v>
      </c>
      <c r="I226" s="1">
        <v>96</v>
      </c>
      <c r="J226" s="1">
        <v>48.641295154021137</v>
      </c>
      <c r="K226" s="1">
        <v>61</v>
      </c>
      <c r="L226" s="1">
        <v>16.046156939796774</v>
      </c>
      <c r="M226" s="1">
        <v>120</v>
      </c>
      <c r="N226" s="1">
        <v>0</v>
      </c>
      <c r="O226" s="1">
        <v>100</v>
      </c>
      <c r="P226" s="1">
        <v>125</v>
      </c>
      <c r="Q226" s="1">
        <v>91.888342932178475</v>
      </c>
      <c r="R226" s="1">
        <v>0</v>
      </c>
      <c r="S226" s="1">
        <v>90</v>
      </c>
      <c r="T226" s="1">
        <v>50</v>
      </c>
      <c r="U226" s="1">
        <v>50</v>
      </c>
      <c r="V226" s="1">
        <v>70</v>
      </c>
      <c r="W226" s="1">
        <v>70</v>
      </c>
      <c r="X226" s="1">
        <v>40</v>
      </c>
      <c r="Y226" s="1">
        <v>30</v>
      </c>
      <c r="Z226" s="1">
        <v>11</v>
      </c>
      <c r="AA226" s="1">
        <v>11</v>
      </c>
      <c r="AB226" s="1">
        <v>10</v>
      </c>
      <c r="AC226" s="1">
        <v>5</v>
      </c>
      <c r="AD226" s="1">
        <v>5</v>
      </c>
      <c r="AE226" s="1">
        <v>5</v>
      </c>
      <c r="AF226" s="1">
        <v>22</v>
      </c>
      <c r="AG226" s="1">
        <v>1.10528</v>
      </c>
      <c r="AH226" s="1">
        <v>15</v>
      </c>
      <c r="AI226" s="1">
        <v>0</v>
      </c>
      <c r="AJ226" s="1">
        <v>0</v>
      </c>
      <c r="AK226" s="1">
        <v>0</v>
      </c>
      <c r="AL226" s="1">
        <v>2.3037353363205257</v>
      </c>
      <c r="AM226" s="1">
        <v>1.8912997403652518</v>
      </c>
      <c r="AN226" s="1">
        <v>4.9337304517470697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</row>
    <row r="227" spans="1:48" x14ac:dyDescent="0.3">
      <c r="A227" s="4">
        <v>418021758</v>
      </c>
      <c r="B227" s="4" t="s">
        <v>315</v>
      </c>
      <c r="C227" s="4" t="str">
        <f>IFERROR(VLOOKUP(Tabela1[[#This Row],[Código]],Cadastro!$A:$J,2,0),"Sem Cadastro")</f>
        <v>ALIMENTOS</v>
      </c>
      <c r="D227" s="4" t="str">
        <f>IFERROR(VLOOKUP(Tabela1[[#This Row],[Código]],Cadastro!$A:$J,3,0),"Sem Cadastro")</f>
        <v>SOBREMESAS EM PÓ</v>
      </c>
      <c r="E227" s="4" t="str">
        <f>IFERROR(VLOOKUP(Tabela1[[#This Row],[Código]],Cadastro!$A:$J,4,0),"Sem Cadastro")</f>
        <v>GELATINA</v>
      </c>
      <c r="F227" s="4" t="str">
        <f>IFERROR(VLOOKUP(Tabela1[[#This Row],[Código]],Cadastro!$A:$J,5,0),"Sem Cadastro")</f>
        <v>LANÇAMENTO</v>
      </c>
      <c r="G227" s="5" t="s">
        <v>308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AR227" s="8"/>
    </row>
    <row r="229" spans="1:48" x14ac:dyDescent="0.3">
      <c r="S229" s="1"/>
      <c r="AQ229" s="5"/>
      <c r="AR229" s="1"/>
    </row>
    <row r="230" spans="1:48" x14ac:dyDescent="0.3">
      <c r="S230" s="1"/>
      <c r="AQ230" s="5"/>
      <c r="AR230" s="1"/>
    </row>
    <row r="231" spans="1:48" x14ac:dyDescent="0.3">
      <c r="S231" s="1"/>
      <c r="AQ231" s="5"/>
      <c r="AR231" s="1"/>
    </row>
    <row r="232" spans="1:48" x14ac:dyDescent="0.3">
      <c r="S232" s="1"/>
      <c r="AQ232" s="5"/>
      <c r="AR232" s="1"/>
    </row>
    <row r="233" spans="1:48" x14ac:dyDescent="0.3">
      <c r="S233" s="1"/>
      <c r="AQ233" s="5"/>
      <c r="AR233" s="1"/>
    </row>
    <row r="234" spans="1:48" x14ac:dyDescent="0.3">
      <c r="S234" s="1"/>
      <c r="AQ234" s="5"/>
      <c r="AR234" s="1"/>
    </row>
    <row r="235" spans="1:48" x14ac:dyDescent="0.3">
      <c r="S235" s="1"/>
      <c r="AQ235" s="5"/>
      <c r="AR235" s="1"/>
    </row>
    <row r="236" spans="1:48" x14ac:dyDescent="0.3">
      <c r="S236" s="1"/>
      <c r="AQ236" s="5"/>
      <c r="AR236" s="1"/>
    </row>
    <row r="237" spans="1:48" x14ac:dyDescent="0.3">
      <c r="S237" s="1"/>
      <c r="AQ237" s="5"/>
      <c r="AR237" s="1"/>
    </row>
    <row r="238" spans="1:48" x14ac:dyDescent="0.3">
      <c r="S238" s="1"/>
      <c r="AQ238" s="5"/>
      <c r="AR238" s="1"/>
    </row>
    <row r="239" spans="1:48" x14ac:dyDescent="0.3">
      <c r="S239" s="1"/>
      <c r="AQ239" s="5"/>
      <c r="AR239" s="1"/>
    </row>
    <row r="240" spans="1:48" x14ac:dyDescent="0.3">
      <c r="S240" s="1"/>
      <c r="AQ240" s="5"/>
      <c r="AR240" s="1"/>
    </row>
    <row r="241" spans="19:44" x14ac:dyDescent="0.3">
      <c r="S241" s="1"/>
      <c r="AQ241" s="5"/>
      <c r="AR241" s="1"/>
    </row>
    <row r="242" spans="19:44" x14ac:dyDescent="0.3">
      <c r="S242" s="1"/>
      <c r="AQ242" s="5"/>
      <c r="AR242" s="1"/>
    </row>
    <row r="243" spans="19:44" x14ac:dyDescent="0.3">
      <c r="S243" s="1"/>
      <c r="AQ243" s="5"/>
      <c r="AR243" s="1"/>
    </row>
    <row r="244" spans="19:44" x14ac:dyDescent="0.3">
      <c r="S244" s="1"/>
      <c r="AQ244" s="5"/>
      <c r="AR244" s="1"/>
    </row>
    <row r="245" spans="19:44" x14ac:dyDescent="0.3">
      <c r="S245" s="1"/>
      <c r="AQ245" s="5"/>
      <c r="AR245" s="1"/>
    </row>
    <row r="246" spans="19:44" x14ac:dyDescent="0.3">
      <c r="S246" s="1"/>
      <c r="AQ246" s="5"/>
      <c r="AR246" s="1"/>
    </row>
    <row r="247" spans="19:44" x14ac:dyDescent="0.3">
      <c r="S247" s="1"/>
      <c r="AQ247" s="5"/>
      <c r="AR247" s="1"/>
    </row>
    <row r="248" spans="19:44" x14ac:dyDescent="0.3">
      <c r="S248" s="1"/>
      <c r="AQ248" s="5"/>
      <c r="AR248" s="1"/>
    </row>
    <row r="249" spans="19:44" x14ac:dyDescent="0.3">
      <c r="S249" s="1"/>
      <c r="AQ249" s="5"/>
      <c r="AR249" s="1"/>
    </row>
    <row r="250" spans="19:44" x14ac:dyDescent="0.3">
      <c r="S250" s="1"/>
      <c r="AQ250" s="5"/>
      <c r="AR250" s="1"/>
    </row>
    <row r="251" spans="19:44" x14ac:dyDescent="0.3">
      <c r="S251" s="1"/>
      <c r="AQ251" s="5"/>
      <c r="AR251" s="1"/>
    </row>
    <row r="252" spans="19:44" x14ac:dyDescent="0.3">
      <c r="S252" s="1"/>
      <c r="AQ252" s="5"/>
      <c r="AR252" s="1"/>
    </row>
    <row r="253" spans="19:44" x14ac:dyDescent="0.3">
      <c r="S253" s="1"/>
      <c r="AQ253" s="5"/>
      <c r="AR253" s="1"/>
    </row>
    <row r="254" spans="19:44" x14ac:dyDescent="0.3">
      <c r="S254" s="1"/>
      <c r="AQ254" s="5"/>
      <c r="AR254" s="1"/>
    </row>
    <row r="255" spans="19:44" x14ac:dyDescent="0.3">
      <c r="S255" s="1"/>
      <c r="AQ255" s="5"/>
      <c r="AR255" s="1"/>
    </row>
    <row r="256" spans="19:44" x14ac:dyDescent="0.3">
      <c r="S256" s="1"/>
      <c r="AQ256" s="5"/>
      <c r="AR256" s="1"/>
    </row>
    <row r="257" spans="19:44" x14ac:dyDescent="0.3">
      <c r="S257" s="1"/>
      <c r="AQ257" s="5"/>
      <c r="AR257" s="1"/>
    </row>
    <row r="258" spans="19:44" x14ac:dyDescent="0.3">
      <c r="S258" s="1"/>
      <c r="AQ258" s="5"/>
      <c r="AR258" s="1"/>
    </row>
    <row r="259" spans="19:44" x14ac:dyDescent="0.3">
      <c r="S259" s="1"/>
      <c r="AQ259" s="5"/>
      <c r="AR259" s="1"/>
    </row>
    <row r="260" spans="19:44" x14ac:dyDescent="0.3">
      <c r="S260" s="1"/>
      <c r="AQ260" s="5"/>
      <c r="AR260" s="1"/>
    </row>
    <row r="261" spans="19:44" x14ac:dyDescent="0.3">
      <c r="S261" s="1"/>
      <c r="AQ261" s="5"/>
      <c r="AR261" s="1"/>
    </row>
    <row r="262" spans="19:44" x14ac:dyDescent="0.3">
      <c r="S262" s="1"/>
      <c r="AQ262" s="5"/>
      <c r="AR262" s="1"/>
    </row>
    <row r="263" spans="19:44" x14ac:dyDescent="0.3">
      <c r="S263" s="1"/>
      <c r="AQ263" s="5"/>
      <c r="AR263" s="1"/>
    </row>
    <row r="264" spans="19:44" x14ac:dyDescent="0.3">
      <c r="S264" s="1"/>
      <c r="AQ264" s="5"/>
      <c r="AR264" s="1"/>
    </row>
    <row r="265" spans="19:44" x14ac:dyDescent="0.3">
      <c r="S265" s="1"/>
      <c r="AQ265" s="5"/>
      <c r="AR265" s="1"/>
    </row>
    <row r="266" spans="19:44" x14ac:dyDescent="0.3">
      <c r="S266" s="1"/>
      <c r="AQ266" s="5"/>
      <c r="AR266" s="1"/>
    </row>
    <row r="267" spans="19:44" x14ac:dyDescent="0.3">
      <c r="S267" s="1"/>
      <c r="AQ267" s="5"/>
      <c r="AR267" s="1"/>
    </row>
    <row r="268" spans="19:44" x14ac:dyDescent="0.3">
      <c r="S268" s="1"/>
      <c r="AQ268" s="5"/>
      <c r="AR268" s="1"/>
    </row>
    <row r="269" spans="19:44" x14ac:dyDescent="0.3">
      <c r="S269" s="1"/>
      <c r="AQ269" s="5"/>
      <c r="AR269" s="1"/>
    </row>
    <row r="270" spans="19:44" x14ac:dyDescent="0.3">
      <c r="S270" s="1"/>
      <c r="AQ270" s="5"/>
      <c r="AR270" s="1"/>
    </row>
    <row r="271" spans="19:44" x14ac:dyDescent="0.3">
      <c r="S271" s="1"/>
      <c r="AQ271" s="5"/>
      <c r="AR271" s="1"/>
    </row>
    <row r="272" spans="19:44" x14ac:dyDescent="0.3">
      <c r="S272" s="1"/>
      <c r="AQ272" s="5"/>
      <c r="AR272" s="1"/>
    </row>
    <row r="273" spans="19:44" x14ac:dyDescent="0.3">
      <c r="S273" s="1"/>
      <c r="AQ273" s="5"/>
      <c r="AR273" s="1"/>
    </row>
    <row r="274" spans="19:44" x14ac:dyDescent="0.3">
      <c r="S274" s="1"/>
      <c r="AQ274" s="5"/>
      <c r="AR274" s="1"/>
    </row>
    <row r="275" spans="19:44" x14ac:dyDescent="0.3">
      <c r="S275" s="1"/>
      <c r="AQ275" s="5"/>
      <c r="AR275" s="1"/>
    </row>
    <row r="276" spans="19:44" x14ac:dyDescent="0.3">
      <c r="S276" s="1"/>
      <c r="AQ276" s="5"/>
      <c r="AR276" s="1"/>
    </row>
    <row r="277" spans="19:44" x14ac:dyDescent="0.3">
      <c r="S277" s="1"/>
      <c r="AQ277" s="5"/>
      <c r="AR277" s="1"/>
    </row>
    <row r="278" spans="19:44" x14ac:dyDescent="0.3">
      <c r="S278" s="1"/>
      <c r="AQ278" s="5"/>
      <c r="AR278" s="1"/>
    </row>
    <row r="279" spans="19:44" x14ac:dyDescent="0.3">
      <c r="S279" s="1"/>
      <c r="AQ279" s="5"/>
      <c r="AR279" s="1"/>
    </row>
    <row r="280" spans="19:44" x14ac:dyDescent="0.3">
      <c r="S280" s="1"/>
      <c r="AQ280" s="5"/>
      <c r="AR280" s="1"/>
    </row>
    <row r="281" spans="19:44" x14ac:dyDescent="0.3">
      <c r="S281" s="1"/>
      <c r="AQ281" s="5"/>
      <c r="AR281" s="1"/>
    </row>
    <row r="282" spans="19:44" x14ac:dyDescent="0.3">
      <c r="S282" s="1"/>
      <c r="AQ282" s="5"/>
      <c r="AR282" s="1"/>
    </row>
    <row r="283" spans="19:44" x14ac:dyDescent="0.3">
      <c r="S283" s="1"/>
      <c r="AQ283" s="5"/>
      <c r="AR283" s="1"/>
    </row>
    <row r="284" spans="19:44" x14ac:dyDescent="0.3">
      <c r="S284" s="1"/>
      <c r="AQ284" s="5"/>
      <c r="AR284" s="1"/>
    </row>
    <row r="285" spans="19:44" x14ac:dyDescent="0.3">
      <c r="S285" s="1"/>
      <c r="AQ285" s="5"/>
      <c r="AR285" s="1"/>
    </row>
    <row r="286" spans="19:44" x14ac:dyDescent="0.3">
      <c r="S286" s="1"/>
      <c r="AQ286" s="5"/>
      <c r="AR286" s="1"/>
    </row>
    <row r="287" spans="19:44" x14ac:dyDescent="0.3">
      <c r="S287" s="1"/>
      <c r="AQ287" s="5"/>
      <c r="AR287" s="1"/>
    </row>
    <row r="288" spans="19:44" x14ac:dyDescent="0.3">
      <c r="S288" s="1"/>
      <c r="AQ288" s="5"/>
      <c r="AR288" s="1"/>
    </row>
    <row r="289" spans="19:44" x14ac:dyDescent="0.3">
      <c r="S289" s="1"/>
      <c r="AQ289" s="5"/>
      <c r="AR289" s="1"/>
    </row>
    <row r="290" spans="19:44" x14ac:dyDescent="0.3">
      <c r="S290" s="1"/>
      <c r="AQ290" s="5"/>
      <c r="AR290" s="1"/>
    </row>
    <row r="291" spans="19:44" x14ac:dyDescent="0.3">
      <c r="S291" s="1"/>
      <c r="AQ291" s="5"/>
      <c r="AR291" s="1"/>
    </row>
    <row r="292" spans="19:44" x14ac:dyDescent="0.3">
      <c r="S292" s="1"/>
      <c r="AQ292" s="5"/>
      <c r="AR292" s="1"/>
    </row>
    <row r="293" spans="19:44" x14ac:dyDescent="0.3">
      <c r="S293" s="1"/>
      <c r="AQ293" s="5"/>
      <c r="AR293" s="1"/>
    </row>
    <row r="294" spans="19:44" x14ac:dyDescent="0.3">
      <c r="S294" s="1"/>
      <c r="AQ294" s="5"/>
      <c r="AR294" s="1"/>
    </row>
    <row r="295" spans="19:44" x14ac:dyDescent="0.3">
      <c r="S295" s="1"/>
      <c r="AQ295" s="5"/>
      <c r="AR295" s="1"/>
    </row>
    <row r="296" spans="19:44" x14ac:dyDescent="0.3">
      <c r="S296" s="1"/>
      <c r="AQ296" s="5"/>
      <c r="AR296" s="1"/>
    </row>
    <row r="297" spans="19:44" x14ac:dyDescent="0.3">
      <c r="S297" s="1"/>
      <c r="AQ297" s="5"/>
      <c r="AR297" s="1"/>
    </row>
    <row r="298" spans="19:44" x14ac:dyDescent="0.3">
      <c r="S298" s="1"/>
      <c r="AQ298" s="5"/>
      <c r="AR298" s="1"/>
    </row>
    <row r="299" spans="19:44" x14ac:dyDescent="0.3">
      <c r="S299" s="1"/>
      <c r="AQ299" s="5"/>
      <c r="AR299" s="1"/>
    </row>
    <row r="300" spans="19:44" x14ac:dyDescent="0.3">
      <c r="S300" s="1"/>
      <c r="AQ300" s="5"/>
      <c r="AR300" s="1"/>
    </row>
    <row r="301" spans="19:44" x14ac:dyDescent="0.3">
      <c r="S301" s="1"/>
      <c r="AQ301" s="5"/>
      <c r="AR301" s="1"/>
    </row>
    <row r="302" spans="19:44" x14ac:dyDescent="0.3">
      <c r="S302" s="1"/>
      <c r="AQ302" s="5"/>
      <c r="AR302" s="1"/>
    </row>
    <row r="303" spans="19:44" x14ac:dyDescent="0.3">
      <c r="S303" s="1"/>
      <c r="AQ303" s="5"/>
      <c r="AR303" s="1"/>
    </row>
    <row r="304" spans="19:44" x14ac:dyDescent="0.3">
      <c r="S304" s="1"/>
      <c r="AQ304" s="5"/>
      <c r="AR304" s="1"/>
    </row>
    <row r="305" spans="19:44" x14ac:dyDescent="0.3">
      <c r="S305" s="1"/>
      <c r="AQ305" s="5"/>
      <c r="AR305" s="1"/>
    </row>
    <row r="306" spans="19:44" x14ac:dyDescent="0.3">
      <c r="S306" s="1"/>
      <c r="AQ306" s="5"/>
      <c r="AR306" s="1"/>
    </row>
    <row r="307" spans="19:44" x14ac:dyDescent="0.3">
      <c r="S307" s="1"/>
      <c r="AQ307" s="5"/>
      <c r="AR307" s="1"/>
    </row>
    <row r="308" spans="19:44" x14ac:dyDescent="0.3">
      <c r="S308" s="1"/>
      <c r="AQ308" s="5"/>
      <c r="AR308" s="1"/>
    </row>
    <row r="309" spans="19:44" x14ac:dyDescent="0.3">
      <c r="S309" s="1"/>
      <c r="AQ309" s="5"/>
      <c r="AR309" s="1"/>
    </row>
    <row r="310" spans="19:44" x14ac:dyDescent="0.3">
      <c r="S310" s="1"/>
      <c r="AQ310" s="5"/>
      <c r="AR310" s="1"/>
    </row>
    <row r="311" spans="19:44" x14ac:dyDescent="0.3">
      <c r="S311" s="1"/>
      <c r="AQ311" s="5"/>
      <c r="AR311" s="1"/>
    </row>
    <row r="312" spans="19:44" x14ac:dyDescent="0.3">
      <c r="S312" s="1"/>
      <c r="AQ312" s="5"/>
      <c r="AR312" s="1"/>
    </row>
    <row r="313" spans="19:44" x14ac:dyDescent="0.3">
      <c r="S313" s="1"/>
      <c r="AQ313" s="5"/>
      <c r="AR313" s="1"/>
    </row>
    <row r="314" spans="19:44" x14ac:dyDescent="0.3">
      <c r="S314" s="1"/>
      <c r="AQ314" s="5"/>
      <c r="AR314" s="1"/>
    </row>
    <row r="315" spans="19:44" x14ac:dyDescent="0.3">
      <c r="S315" s="1"/>
      <c r="AQ315" s="5"/>
      <c r="AR315" s="1"/>
    </row>
    <row r="316" spans="19:44" x14ac:dyDescent="0.3">
      <c r="S316" s="1"/>
      <c r="AQ316" s="5"/>
      <c r="AR316" s="1"/>
    </row>
    <row r="317" spans="19:44" x14ac:dyDescent="0.3">
      <c r="S317" s="1"/>
      <c r="AQ317" s="5"/>
      <c r="AR317" s="1"/>
    </row>
    <row r="318" spans="19:44" x14ac:dyDescent="0.3">
      <c r="S318" s="1"/>
      <c r="AQ318" s="5"/>
      <c r="AR318" s="1"/>
    </row>
    <row r="319" spans="19:44" x14ac:dyDescent="0.3">
      <c r="S319" s="1"/>
      <c r="AQ319" s="5"/>
      <c r="AR319" s="1"/>
    </row>
    <row r="320" spans="19:44" x14ac:dyDescent="0.3">
      <c r="S320" s="1"/>
      <c r="AQ320" s="5"/>
      <c r="AR320" s="1"/>
    </row>
    <row r="321" spans="19:44" x14ac:dyDescent="0.3">
      <c r="S321" s="1"/>
      <c r="AQ321" s="5"/>
      <c r="AR321" s="1"/>
    </row>
    <row r="322" spans="19:44" x14ac:dyDescent="0.3">
      <c r="S322" s="1"/>
      <c r="AQ322" s="5"/>
      <c r="AR322" s="1"/>
    </row>
    <row r="323" spans="19:44" x14ac:dyDescent="0.3">
      <c r="S323" s="1"/>
      <c r="AQ323" s="5"/>
      <c r="AR323" s="1"/>
    </row>
    <row r="324" spans="19:44" x14ac:dyDescent="0.3">
      <c r="S324" s="1"/>
      <c r="AQ324" s="5"/>
      <c r="AR324" s="1"/>
    </row>
    <row r="325" spans="19:44" x14ac:dyDescent="0.3">
      <c r="S325" s="1"/>
      <c r="AQ325" s="5"/>
      <c r="AR325" s="1"/>
    </row>
    <row r="326" spans="19:44" x14ac:dyDescent="0.3">
      <c r="S326" s="1"/>
      <c r="AQ326" s="5"/>
      <c r="AR326" s="1"/>
    </row>
    <row r="327" spans="19:44" x14ac:dyDescent="0.3">
      <c r="S327" s="1"/>
      <c r="AQ327" s="5"/>
      <c r="AR327" s="1"/>
    </row>
    <row r="328" spans="19:44" x14ac:dyDescent="0.3">
      <c r="S328" s="1"/>
      <c r="AQ328" s="5"/>
      <c r="AR328" s="1"/>
    </row>
    <row r="329" spans="19:44" x14ac:dyDescent="0.3">
      <c r="S329" s="1"/>
      <c r="AQ329" s="5"/>
      <c r="AR329" s="1"/>
    </row>
    <row r="330" spans="19:44" x14ac:dyDescent="0.3">
      <c r="S330" s="1"/>
      <c r="AQ330" s="5"/>
      <c r="AR330" s="1"/>
    </row>
    <row r="331" spans="19:44" x14ac:dyDescent="0.3">
      <c r="S331" s="1"/>
      <c r="AQ331" s="5"/>
      <c r="AR331" s="1"/>
    </row>
    <row r="332" spans="19:44" x14ac:dyDescent="0.3">
      <c r="S332" s="1"/>
      <c r="AQ332" s="5"/>
      <c r="AR332" s="1"/>
    </row>
    <row r="333" spans="19:44" x14ac:dyDescent="0.3">
      <c r="S333" s="1"/>
      <c r="AQ333" s="5"/>
      <c r="AR333" s="1"/>
    </row>
    <row r="334" spans="19:44" x14ac:dyDescent="0.3">
      <c r="S334" s="1"/>
      <c r="AQ334" s="5"/>
      <c r="AR334" s="1"/>
    </row>
    <row r="335" spans="19:44" x14ac:dyDescent="0.3">
      <c r="S335" s="1"/>
      <c r="AQ335" s="5"/>
      <c r="AR335" s="1"/>
    </row>
    <row r="336" spans="19:44" x14ac:dyDescent="0.3">
      <c r="S336" s="1"/>
      <c r="AQ336" s="5"/>
      <c r="AR336" s="1"/>
    </row>
    <row r="337" spans="19:44" x14ac:dyDescent="0.3">
      <c r="S337" s="1"/>
      <c r="AQ337" s="5"/>
      <c r="AR337" s="1"/>
    </row>
    <row r="338" spans="19:44" x14ac:dyDescent="0.3">
      <c r="S338" s="1"/>
      <c r="AQ338" s="5"/>
      <c r="AR338" s="1"/>
    </row>
    <row r="339" spans="19:44" x14ac:dyDescent="0.3">
      <c r="S339" s="1"/>
      <c r="AQ339" s="5"/>
      <c r="AR339" s="1"/>
    </row>
    <row r="340" spans="19:44" x14ac:dyDescent="0.3">
      <c r="S340" s="1"/>
      <c r="AQ340" s="5"/>
      <c r="AR340" s="1"/>
    </row>
    <row r="341" spans="19:44" x14ac:dyDescent="0.3">
      <c r="S341" s="1"/>
      <c r="AQ341" s="5"/>
      <c r="AR341" s="1"/>
    </row>
    <row r="342" spans="19:44" x14ac:dyDescent="0.3">
      <c r="S342" s="1"/>
      <c r="AQ342" s="5"/>
      <c r="AR342" s="1"/>
    </row>
    <row r="343" spans="19:44" x14ac:dyDescent="0.3">
      <c r="S343" s="1"/>
      <c r="AQ343" s="5"/>
      <c r="AR343" s="1"/>
    </row>
    <row r="344" spans="19:44" x14ac:dyDescent="0.3">
      <c r="S344" s="1"/>
      <c r="AQ344" s="5"/>
      <c r="AR344" s="1"/>
    </row>
    <row r="345" spans="19:44" x14ac:dyDescent="0.3">
      <c r="S345" s="1"/>
      <c r="AQ345" s="5"/>
      <c r="AR345" s="1"/>
    </row>
    <row r="346" spans="19:44" x14ac:dyDescent="0.3">
      <c r="S346" s="1"/>
      <c r="AQ346" s="5"/>
      <c r="AR346" s="1"/>
    </row>
    <row r="347" spans="19:44" x14ac:dyDescent="0.3">
      <c r="S347" s="1"/>
      <c r="AQ347" s="5"/>
      <c r="AR347" s="1"/>
    </row>
    <row r="348" spans="19:44" x14ac:dyDescent="0.3">
      <c r="S348" s="1"/>
      <c r="AQ348" s="5"/>
      <c r="AR348" s="1"/>
    </row>
    <row r="349" spans="19:44" x14ac:dyDescent="0.3">
      <c r="S349" s="1"/>
      <c r="AQ349" s="5"/>
      <c r="AR349" s="1"/>
    </row>
    <row r="350" spans="19:44" x14ac:dyDescent="0.3">
      <c r="S350" s="1"/>
      <c r="AQ350" s="5"/>
      <c r="AR350" s="1"/>
    </row>
    <row r="351" spans="19:44" x14ac:dyDescent="0.3">
      <c r="S351" s="1"/>
      <c r="AQ351" s="5"/>
      <c r="AR351" s="1"/>
    </row>
  </sheetData>
  <phoneticPr fontId="4" type="noConversion"/>
  <conditionalFormatting sqref="A1:A228 A352:A1048576">
    <cfRule type="duplicateValues" dxfId="14" priority="4"/>
    <cfRule type="duplicateValues" dxfId="13" priority="21"/>
    <cfRule type="duplicateValues" dxfId="12" priority="22"/>
  </conditionalFormatting>
  <conditionalFormatting sqref="A2:A227">
    <cfRule type="duplicateValues" dxfId="11" priority="32"/>
    <cfRule type="duplicateValues" dxfId="10" priority="33"/>
    <cfRule type="duplicateValues" dxfId="9" priority="34"/>
  </conditionalFormatting>
  <pageMargins left="0.51181102362204722" right="0.51181102362204722" top="0.78740157480314965" bottom="0.78740157480314965" header="0.31496062992125984" footer="0.31496062992125984"/>
  <pageSetup paperSize="9" scale="5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73CF-CBC9-40FE-96E1-9B9E4831E142}">
  <dimension ref="A1:S158"/>
  <sheetViews>
    <sheetView workbookViewId="0">
      <selection activeCell="R1" sqref="R1:R1048576"/>
    </sheetView>
  </sheetViews>
  <sheetFormatPr defaultRowHeight="14.4" x14ac:dyDescent="0.3"/>
  <cols>
    <col min="1" max="1" width="7.6640625" bestFit="1" customWidth="1"/>
    <col min="2" max="2" width="40" bestFit="1" customWidth="1"/>
    <col min="15" max="15" width="9.109375" customWidth="1"/>
    <col min="16" max="16" width="9.6640625" customWidth="1"/>
  </cols>
  <sheetData>
    <row r="1" spans="1:19" s="11" customFormat="1" ht="12" x14ac:dyDescent="0.25">
      <c r="A1" s="9" t="s">
        <v>0</v>
      </c>
      <c r="B1" s="9" t="s">
        <v>1</v>
      </c>
      <c r="C1" s="10" t="s">
        <v>43</v>
      </c>
      <c r="D1" s="10" t="s">
        <v>44</v>
      </c>
      <c r="E1" s="10" t="s">
        <v>45</v>
      </c>
      <c r="F1" s="10" t="s">
        <v>46</v>
      </c>
      <c r="G1" s="10" t="s">
        <v>47</v>
      </c>
      <c r="H1" s="10" t="s">
        <v>48</v>
      </c>
      <c r="I1" s="10" t="s">
        <v>49</v>
      </c>
      <c r="J1" s="10" t="s">
        <v>50</v>
      </c>
      <c r="K1" s="10" t="s">
        <v>51</v>
      </c>
      <c r="L1" s="10" t="s">
        <v>52</v>
      </c>
      <c r="M1" s="10" t="s">
        <v>53</v>
      </c>
      <c r="N1" s="10" t="s">
        <v>54</v>
      </c>
      <c r="O1" s="11" t="s">
        <v>316</v>
      </c>
      <c r="P1" s="11" t="s">
        <v>317</v>
      </c>
      <c r="Q1" s="11" t="s">
        <v>318</v>
      </c>
      <c r="R1" s="11" t="s">
        <v>319</v>
      </c>
      <c r="S1" s="11" t="s">
        <v>320</v>
      </c>
    </row>
    <row r="2" spans="1:19" s="5" customFormat="1" ht="12" x14ac:dyDescent="0.3">
      <c r="A2" s="4">
        <v>430010020</v>
      </c>
      <c r="B2" s="4" t="s">
        <v>321</v>
      </c>
      <c r="C2" s="8">
        <v>109</v>
      </c>
      <c r="D2" s="8">
        <v>109</v>
      </c>
      <c r="E2" s="8">
        <v>125</v>
      </c>
      <c r="F2" s="8">
        <v>135</v>
      </c>
      <c r="G2" s="8">
        <v>135</v>
      </c>
      <c r="H2" s="1">
        <v>143</v>
      </c>
      <c r="I2" s="1">
        <v>146</v>
      </c>
      <c r="J2" s="1">
        <v>146</v>
      </c>
      <c r="K2" s="8">
        <v>151</v>
      </c>
      <c r="L2" s="8">
        <v>151</v>
      </c>
      <c r="M2" s="8">
        <v>219</v>
      </c>
      <c r="N2" s="8">
        <v>113</v>
      </c>
      <c r="O2" s="5">
        <v>410010020</v>
      </c>
      <c r="P2" s="12">
        <f>IFERROR(VLOOKUP(A2,'[1]Padronização 43'!$B:$Q,16,0),0)</f>
        <v>24</v>
      </c>
      <c r="Q2" s="5">
        <f>IFERROR(I2/P2,0)</f>
        <v>6.083333333333333</v>
      </c>
      <c r="R2" s="5">
        <f>IFERROR(J2/$P$2,0)</f>
        <v>6.083333333333333</v>
      </c>
      <c r="S2" s="5">
        <f>IFERROR(K2/$P$2,0)</f>
        <v>6.291666666666667</v>
      </c>
    </row>
    <row r="3" spans="1:19" s="5" customFormat="1" ht="12" x14ac:dyDescent="0.3">
      <c r="A3" s="4">
        <v>430010021</v>
      </c>
      <c r="B3" s="4" t="s">
        <v>322</v>
      </c>
      <c r="C3" s="8">
        <v>600</v>
      </c>
      <c r="D3" s="8">
        <v>600</v>
      </c>
      <c r="E3" s="8">
        <v>683</v>
      </c>
      <c r="F3" s="8">
        <v>739</v>
      </c>
      <c r="G3" s="8">
        <v>739</v>
      </c>
      <c r="H3" s="1">
        <v>785</v>
      </c>
      <c r="I3" s="1">
        <v>803</v>
      </c>
      <c r="J3" s="1">
        <v>803</v>
      </c>
      <c r="K3" s="8">
        <v>831</v>
      </c>
      <c r="L3" s="8">
        <v>831</v>
      </c>
      <c r="M3" s="8">
        <v>1201</v>
      </c>
      <c r="N3" s="8">
        <v>619</v>
      </c>
      <c r="O3" s="5">
        <v>410010021</v>
      </c>
      <c r="P3" s="12">
        <f>IFERROR(VLOOKUP(A3,'[1]Padronização 43'!$B:$Q,16,0),0)</f>
        <v>24</v>
      </c>
      <c r="Q3" s="5">
        <f t="shared" ref="Q3:Q66" si="0">IFERROR(I3/P3,0)</f>
        <v>33.458333333333336</v>
      </c>
      <c r="R3" s="5">
        <f t="shared" ref="R3:R66" si="1">IFERROR(J3/$P$2,0)</f>
        <v>33.458333333333336</v>
      </c>
      <c r="S3" s="5">
        <f t="shared" ref="S3:S66" si="2">IFERROR(K3/$P$2,0)</f>
        <v>34.625</v>
      </c>
    </row>
    <row r="4" spans="1:19" s="5" customFormat="1" ht="12" x14ac:dyDescent="0.3">
      <c r="A4" s="4">
        <v>430014791</v>
      </c>
      <c r="B4" s="4" t="s">
        <v>323</v>
      </c>
      <c r="C4" s="8">
        <v>85</v>
      </c>
      <c r="D4" s="8">
        <v>85</v>
      </c>
      <c r="E4" s="8">
        <v>97</v>
      </c>
      <c r="F4" s="8">
        <v>105</v>
      </c>
      <c r="G4" s="8">
        <v>105</v>
      </c>
      <c r="H4" s="1">
        <v>112</v>
      </c>
      <c r="I4" s="1">
        <v>114</v>
      </c>
      <c r="J4" s="1">
        <v>114</v>
      </c>
      <c r="K4" s="8">
        <v>118</v>
      </c>
      <c r="L4" s="8">
        <v>118</v>
      </c>
      <c r="M4" s="8">
        <v>171</v>
      </c>
      <c r="N4" s="8">
        <v>88</v>
      </c>
      <c r="O4" s="5">
        <v>410014791</v>
      </c>
      <c r="P4" s="12">
        <f>IFERROR(VLOOKUP(A4,'[1]Padronização 43'!$B:$Q,16,0),0)</f>
        <v>12</v>
      </c>
      <c r="Q4" s="5">
        <f t="shared" si="0"/>
        <v>9.5</v>
      </c>
      <c r="R4" s="5">
        <f t="shared" si="1"/>
        <v>4.75</v>
      </c>
      <c r="S4" s="5">
        <f t="shared" si="2"/>
        <v>4.916666666666667</v>
      </c>
    </row>
    <row r="5" spans="1:19" s="5" customFormat="1" ht="12" x14ac:dyDescent="0.3">
      <c r="A5" s="4">
        <v>430014792</v>
      </c>
      <c r="B5" s="4" t="s">
        <v>324</v>
      </c>
      <c r="C5" s="8">
        <v>469</v>
      </c>
      <c r="D5" s="8">
        <v>469</v>
      </c>
      <c r="E5" s="8">
        <v>534</v>
      </c>
      <c r="F5" s="8">
        <v>577</v>
      </c>
      <c r="G5" s="8">
        <v>577</v>
      </c>
      <c r="H5" s="1">
        <v>613</v>
      </c>
      <c r="I5" s="1">
        <v>627</v>
      </c>
      <c r="J5" s="1">
        <v>627</v>
      </c>
      <c r="K5" s="8">
        <v>649</v>
      </c>
      <c r="L5" s="8">
        <v>649</v>
      </c>
      <c r="M5" s="8">
        <v>938</v>
      </c>
      <c r="N5" s="8">
        <v>483</v>
      </c>
      <c r="O5" s="5">
        <v>410014792</v>
      </c>
      <c r="P5" s="12">
        <f>IFERROR(VLOOKUP(A5,'[1]Padronização 43'!$B:$Q,16,0),0)</f>
        <v>12</v>
      </c>
      <c r="Q5" s="5">
        <f t="shared" si="0"/>
        <v>52.25</v>
      </c>
      <c r="R5" s="5">
        <f t="shared" si="1"/>
        <v>26.125</v>
      </c>
      <c r="S5" s="5">
        <f t="shared" si="2"/>
        <v>27.041666666666668</v>
      </c>
    </row>
    <row r="6" spans="1:19" s="5" customFormat="1" ht="12" x14ac:dyDescent="0.3">
      <c r="A6" s="4">
        <v>430014793</v>
      </c>
      <c r="B6" s="4" t="s">
        <v>325</v>
      </c>
      <c r="C6" s="8">
        <v>28</v>
      </c>
      <c r="D6" s="8">
        <v>28</v>
      </c>
      <c r="E6" s="8">
        <v>32</v>
      </c>
      <c r="F6" s="8">
        <v>35</v>
      </c>
      <c r="G6" s="8">
        <v>35</v>
      </c>
      <c r="H6" s="1">
        <v>37</v>
      </c>
      <c r="I6" s="1">
        <v>38</v>
      </c>
      <c r="J6" s="1">
        <v>38</v>
      </c>
      <c r="K6" s="8">
        <v>39</v>
      </c>
      <c r="L6" s="8">
        <v>39</v>
      </c>
      <c r="M6" s="8">
        <v>56</v>
      </c>
      <c r="N6" s="8">
        <v>29</v>
      </c>
      <c r="O6" s="5">
        <v>410026410</v>
      </c>
      <c r="P6" s="12">
        <f>IFERROR(VLOOKUP(A6,'[1]Padronização 43'!$B:$Q,16,0),0)</f>
        <v>12</v>
      </c>
      <c r="Q6" s="5">
        <f t="shared" si="0"/>
        <v>3.1666666666666665</v>
      </c>
      <c r="R6" s="5">
        <f t="shared" si="1"/>
        <v>1.5833333333333333</v>
      </c>
      <c r="S6" s="5">
        <f t="shared" si="2"/>
        <v>1.625</v>
      </c>
    </row>
    <row r="7" spans="1:19" s="5" customFormat="1" ht="12" x14ac:dyDescent="0.3">
      <c r="A7" s="4">
        <v>430015091</v>
      </c>
      <c r="B7" s="4" t="s">
        <v>326</v>
      </c>
      <c r="C7" s="8">
        <v>12</v>
      </c>
      <c r="D7" s="8">
        <v>12</v>
      </c>
      <c r="E7" s="8">
        <v>13</v>
      </c>
      <c r="F7" s="8">
        <v>14</v>
      </c>
      <c r="G7" s="8">
        <v>14</v>
      </c>
      <c r="H7" s="1">
        <v>15</v>
      </c>
      <c r="I7" s="1">
        <v>16</v>
      </c>
      <c r="J7" s="1">
        <v>16</v>
      </c>
      <c r="K7" s="8">
        <v>16</v>
      </c>
      <c r="L7" s="8">
        <v>16</v>
      </c>
      <c r="M7" s="8">
        <v>23</v>
      </c>
      <c r="N7" s="8">
        <v>12</v>
      </c>
      <c r="O7" s="5">
        <v>0</v>
      </c>
      <c r="P7" s="12">
        <f>IFERROR(VLOOKUP(A7,'[1]Padronização 43'!$B:$Q,16,0),0)</f>
        <v>0</v>
      </c>
      <c r="Q7" s="5">
        <f t="shared" si="0"/>
        <v>0</v>
      </c>
      <c r="R7" s="5">
        <f t="shared" si="1"/>
        <v>0.66666666666666663</v>
      </c>
      <c r="S7" s="5">
        <f t="shared" si="2"/>
        <v>0.66666666666666663</v>
      </c>
    </row>
    <row r="8" spans="1:19" s="5" customFormat="1" ht="12" x14ac:dyDescent="0.3">
      <c r="A8" s="4">
        <v>430015092</v>
      </c>
      <c r="B8" s="4" t="s">
        <v>327</v>
      </c>
      <c r="C8" s="8">
        <v>27</v>
      </c>
      <c r="D8" s="8">
        <v>27</v>
      </c>
      <c r="E8" s="8">
        <v>31</v>
      </c>
      <c r="F8" s="8">
        <v>33</v>
      </c>
      <c r="G8" s="8">
        <v>33</v>
      </c>
      <c r="H8" s="1">
        <v>36</v>
      </c>
      <c r="I8" s="1">
        <v>36</v>
      </c>
      <c r="J8" s="1">
        <v>36</v>
      </c>
      <c r="K8" s="8">
        <v>38</v>
      </c>
      <c r="L8" s="8">
        <v>38</v>
      </c>
      <c r="M8" s="8">
        <v>54</v>
      </c>
      <c r="N8" s="8">
        <v>28</v>
      </c>
      <c r="O8" s="5">
        <v>0</v>
      </c>
      <c r="P8" s="12">
        <f>IFERROR(VLOOKUP(A8,'[1]Padronização 43'!$B:$Q,16,0),0)</f>
        <v>0</v>
      </c>
      <c r="Q8" s="5">
        <f t="shared" si="0"/>
        <v>0</v>
      </c>
      <c r="R8" s="5">
        <f t="shared" si="1"/>
        <v>1.5</v>
      </c>
      <c r="S8" s="5">
        <f t="shared" si="2"/>
        <v>1.5833333333333333</v>
      </c>
    </row>
    <row r="9" spans="1:19" s="5" customFormat="1" ht="12" x14ac:dyDescent="0.3">
      <c r="A9" s="4">
        <v>430015592</v>
      </c>
      <c r="B9" s="4" t="s">
        <v>328</v>
      </c>
      <c r="C9" s="8">
        <v>387</v>
      </c>
      <c r="D9" s="8">
        <v>387</v>
      </c>
      <c r="E9" s="8">
        <v>441</v>
      </c>
      <c r="F9" s="8">
        <v>476</v>
      </c>
      <c r="G9" s="8">
        <v>476</v>
      </c>
      <c r="H9" s="1">
        <v>506</v>
      </c>
      <c r="I9" s="1">
        <v>518</v>
      </c>
      <c r="J9" s="1">
        <v>518</v>
      </c>
      <c r="K9" s="8">
        <v>536</v>
      </c>
      <c r="L9" s="8">
        <v>536</v>
      </c>
      <c r="M9" s="8">
        <v>774</v>
      </c>
      <c r="N9" s="8">
        <v>399</v>
      </c>
      <c r="O9" s="5">
        <v>410015592</v>
      </c>
      <c r="P9" s="12">
        <f>IFERROR(VLOOKUP(A9,'[1]Padronização 43'!$B:$Q,16,0),0)</f>
        <v>12</v>
      </c>
      <c r="Q9" s="5">
        <f t="shared" si="0"/>
        <v>43.166666666666664</v>
      </c>
      <c r="R9" s="5">
        <f t="shared" si="1"/>
        <v>21.583333333333332</v>
      </c>
      <c r="S9" s="5">
        <f t="shared" si="2"/>
        <v>22.333333333333332</v>
      </c>
    </row>
    <row r="10" spans="1:19" s="5" customFormat="1" ht="12" x14ac:dyDescent="0.3">
      <c r="A10" s="4">
        <v>430020037</v>
      </c>
      <c r="B10" s="4" t="s">
        <v>329</v>
      </c>
      <c r="C10" s="8">
        <v>43</v>
      </c>
      <c r="D10" s="8">
        <v>43</v>
      </c>
      <c r="E10" s="8">
        <v>49</v>
      </c>
      <c r="F10" s="8">
        <v>53</v>
      </c>
      <c r="G10" s="8">
        <v>53</v>
      </c>
      <c r="H10" s="1">
        <v>56</v>
      </c>
      <c r="I10" s="1">
        <v>57</v>
      </c>
      <c r="J10" s="1">
        <v>57</v>
      </c>
      <c r="K10" s="8">
        <v>59</v>
      </c>
      <c r="L10" s="8">
        <v>59</v>
      </c>
      <c r="M10" s="8">
        <v>86</v>
      </c>
      <c r="N10" s="8">
        <v>44</v>
      </c>
      <c r="O10" s="5">
        <v>410025605</v>
      </c>
      <c r="P10" s="12">
        <f>IFERROR(VLOOKUP(A10,'[1]Padronização 43'!$B:$Q,16,0),0)</f>
        <v>24</v>
      </c>
      <c r="Q10" s="5">
        <f t="shared" si="0"/>
        <v>2.375</v>
      </c>
      <c r="R10" s="5">
        <f t="shared" si="1"/>
        <v>2.375</v>
      </c>
      <c r="S10" s="5">
        <f t="shared" si="2"/>
        <v>2.4583333333333335</v>
      </c>
    </row>
    <row r="11" spans="1:19" s="5" customFormat="1" ht="12" x14ac:dyDescent="0.3">
      <c r="A11" s="4">
        <v>430020057</v>
      </c>
      <c r="B11" s="4" t="s">
        <v>330</v>
      </c>
      <c r="C11" s="8">
        <v>42</v>
      </c>
      <c r="D11" s="8">
        <v>42</v>
      </c>
      <c r="E11" s="8">
        <v>47</v>
      </c>
      <c r="F11" s="8">
        <v>51</v>
      </c>
      <c r="G11" s="8">
        <v>51</v>
      </c>
      <c r="H11" s="1">
        <v>55</v>
      </c>
      <c r="I11" s="1">
        <v>56</v>
      </c>
      <c r="J11" s="1">
        <v>56</v>
      </c>
      <c r="K11" s="8">
        <v>58</v>
      </c>
      <c r="L11" s="8">
        <v>58</v>
      </c>
      <c r="M11" s="8">
        <v>83</v>
      </c>
      <c r="N11" s="8">
        <v>43</v>
      </c>
      <c r="O11" s="5">
        <v>410025606</v>
      </c>
      <c r="P11" s="12">
        <f>IFERROR(VLOOKUP(A11,'[1]Padronização 43'!$B:$Q,16,0),0)</f>
        <v>24</v>
      </c>
      <c r="Q11" s="5">
        <f t="shared" si="0"/>
        <v>2.3333333333333335</v>
      </c>
      <c r="R11" s="5">
        <f t="shared" si="1"/>
        <v>2.3333333333333335</v>
      </c>
      <c r="S11" s="5">
        <f t="shared" si="2"/>
        <v>2.4166666666666665</v>
      </c>
    </row>
    <row r="12" spans="1:19" s="5" customFormat="1" ht="12" x14ac:dyDescent="0.3">
      <c r="A12" s="4">
        <v>430020079</v>
      </c>
      <c r="B12" s="4" t="s">
        <v>331</v>
      </c>
      <c r="C12" s="8">
        <v>1</v>
      </c>
      <c r="D12" s="8">
        <v>1</v>
      </c>
      <c r="E12" s="8">
        <v>2</v>
      </c>
      <c r="F12" s="8">
        <v>2</v>
      </c>
      <c r="G12" s="8">
        <v>2</v>
      </c>
      <c r="H12" s="1">
        <v>2</v>
      </c>
      <c r="I12" s="1">
        <v>2</v>
      </c>
      <c r="J12" s="1">
        <v>2</v>
      </c>
      <c r="K12" s="8">
        <v>2</v>
      </c>
      <c r="L12" s="8">
        <v>2</v>
      </c>
      <c r="M12" s="8">
        <v>3</v>
      </c>
      <c r="N12" s="8">
        <v>1</v>
      </c>
      <c r="O12" s="5">
        <v>410025614</v>
      </c>
      <c r="P12" s="12">
        <f>IFERROR(VLOOKUP(A12,'[1]Padronização 43'!$B:$Q,16,0),0)</f>
        <v>1</v>
      </c>
      <c r="Q12" s="5">
        <f t="shared" si="0"/>
        <v>2</v>
      </c>
      <c r="R12" s="5">
        <f t="shared" si="1"/>
        <v>8.3333333333333329E-2</v>
      </c>
      <c r="S12" s="5">
        <f t="shared" si="2"/>
        <v>8.3333333333333329E-2</v>
      </c>
    </row>
    <row r="13" spans="1:19" s="5" customFormat="1" ht="12" x14ac:dyDescent="0.3">
      <c r="A13" s="4">
        <v>430020080</v>
      </c>
      <c r="B13" s="4" t="s">
        <v>332</v>
      </c>
      <c r="C13" s="8">
        <v>21</v>
      </c>
      <c r="D13" s="8">
        <v>21</v>
      </c>
      <c r="E13" s="8">
        <v>24</v>
      </c>
      <c r="F13" s="8">
        <v>26</v>
      </c>
      <c r="G13" s="8">
        <v>26</v>
      </c>
      <c r="H13" s="1">
        <v>28</v>
      </c>
      <c r="I13" s="1">
        <v>28</v>
      </c>
      <c r="J13" s="1">
        <v>28</v>
      </c>
      <c r="K13" s="8">
        <v>29</v>
      </c>
      <c r="L13" s="8">
        <v>29</v>
      </c>
      <c r="M13" s="8">
        <v>42</v>
      </c>
      <c r="N13" s="8">
        <v>22</v>
      </c>
      <c r="O13" s="5">
        <v>410025615</v>
      </c>
      <c r="P13" s="12">
        <f>IFERROR(VLOOKUP(A13,'[1]Padronização 43'!$B:$Q,16,0),0)</f>
        <v>1</v>
      </c>
      <c r="Q13" s="5">
        <f t="shared" si="0"/>
        <v>28</v>
      </c>
      <c r="R13" s="5">
        <f t="shared" si="1"/>
        <v>1.1666666666666667</v>
      </c>
      <c r="S13" s="5">
        <f t="shared" si="2"/>
        <v>1.2083333333333333</v>
      </c>
    </row>
    <row r="14" spans="1:19" s="5" customFormat="1" ht="12" x14ac:dyDescent="0.3">
      <c r="A14" s="4">
        <v>430022008</v>
      </c>
      <c r="B14" s="4" t="s">
        <v>333</v>
      </c>
      <c r="C14" s="8">
        <v>37</v>
      </c>
      <c r="D14" s="8">
        <v>37</v>
      </c>
      <c r="E14" s="8">
        <v>42</v>
      </c>
      <c r="F14" s="8">
        <v>45</v>
      </c>
      <c r="G14" s="8">
        <v>45</v>
      </c>
      <c r="H14" s="1">
        <v>48</v>
      </c>
      <c r="I14" s="1">
        <v>49</v>
      </c>
      <c r="J14" s="1">
        <v>49</v>
      </c>
      <c r="K14" s="8">
        <v>51</v>
      </c>
      <c r="L14" s="8">
        <v>51</v>
      </c>
      <c r="M14" s="8">
        <v>73</v>
      </c>
      <c r="N14" s="8">
        <v>38</v>
      </c>
      <c r="O14" s="5">
        <v>410022008</v>
      </c>
      <c r="P14" s="12">
        <f>IFERROR(VLOOKUP(A14,'[1]Padronização 43'!$B:$Q,16,0),0)</f>
        <v>6</v>
      </c>
      <c r="Q14" s="5">
        <f t="shared" si="0"/>
        <v>8.1666666666666661</v>
      </c>
      <c r="R14" s="5">
        <f t="shared" si="1"/>
        <v>2.0416666666666665</v>
      </c>
      <c r="S14" s="5">
        <f t="shared" si="2"/>
        <v>2.125</v>
      </c>
    </row>
    <row r="15" spans="1:19" s="5" customFormat="1" ht="12" x14ac:dyDescent="0.3">
      <c r="A15" s="4">
        <v>430022034</v>
      </c>
      <c r="B15" s="4" t="s">
        <v>334</v>
      </c>
      <c r="C15" s="8">
        <v>6</v>
      </c>
      <c r="D15" s="8">
        <v>6</v>
      </c>
      <c r="E15" s="8">
        <v>7</v>
      </c>
      <c r="F15" s="8">
        <v>7</v>
      </c>
      <c r="G15" s="8">
        <v>7</v>
      </c>
      <c r="H15" s="1">
        <v>8</v>
      </c>
      <c r="I15" s="1">
        <v>8</v>
      </c>
      <c r="J15" s="1">
        <v>8</v>
      </c>
      <c r="K15" s="8">
        <v>8</v>
      </c>
      <c r="L15" s="8">
        <v>8</v>
      </c>
      <c r="M15" s="8">
        <v>12</v>
      </c>
      <c r="N15" s="8">
        <v>6</v>
      </c>
      <c r="O15" s="5">
        <v>0</v>
      </c>
      <c r="P15" s="12">
        <f>IFERROR(VLOOKUP(A15,'[1]Padronização 43'!$B:$Q,16,0),0)</f>
        <v>0</v>
      </c>
      <c r="Q15" s="5">
        <f t="shared" si="0"/>
        <v>0</v>
      </c>
      <c r="R15" s="5">
        <f t="shared" si="1"/>
        <v>0.33333333333333331</v>
      </c>
      <c r="S15" s="5">
        <f t="shared" si="2"/>
        <v>0.33333333333333331</v>
      </c>
    </row>
    <row r="16" spans="1:19" s="5" customFormat="1" ht="12" x14ac:dyDescent="0.3">
      <c r="A16" s="4">
        <v>430024780</v>
      </c>
      <c r="B16" s="4" t="s">
        <v>335</v>
      </c>
      <c r="C16" s="8">
        <v>9</v>
      </c>
      <c r="D16" s="8">
        <v>9</v>
      </c>
      <c r="E16" s="8">
        <v>10</v>
      </c>
      <c r="F16" s="8">
        <v>11</v>
      </c>
      <c r="G16" s="8">
        <v>11</v>
      </c>
      <c r="H16" s="1">
        <v>11</v>
      </c>
      <c r="I16" s="1">
        <v>12</v>
      </c>
      <c r="J16" s="1">
        <v>12</v>
      </c>
      <c r="K16" s="8">
        <v>12</v>
      </c>
      <c r="L16" s="8">
        <v>12</v>
      </c>
      <c r="M16" s="8">
        <v>18</v>
      </c>
      <c r="N16" s="8">
        <v>9</v>
      </c>
      <c r="O16" s="5">
        <v>410026415</v>
      </c>
      <c r="P16" s="12">
        <f>IFERROR(VLOOKUP(A16,'[1]Padronização 43'!$B:$Q,16,0),0)</f>
        <v>1</v>
      </c>
      <c r="Q16" s="5">
        <f t="shared" si="0"/>
        <v>12</v>
      </c>
      <c r="R16" s="5">
        <f t="shared" si="1"/>
        <v>0.5</v>
      </c>
      <c r="S16" s="5">
        <f t="shared" si="2"/>
        <v>0.5</v>
      </c>
    </row>
    <row r="17" spans="1:19" s="5" customFormat="1" ht="12" x14ac:dyDescent="0.3">
      <c r="A17" s="4">
        <v>430025080</v>
      </c>
      <c r="B17" s="4" t="s">
        <v>336</v>
      </c>
      <c r="C17" s="8">
        <v>2</v>
      </c>
      <c r="D17" s="8">
        <v>2</v>
      </c>
      <c r="E17" s="8">
        <v>3</v>
      </c>
      <c r="F17" s="8">
        <v>3</v>
      </c>
      <c r="G17" s="8">
        <v>3</v>
      </c>
      <c r="H17" s="1">
        <v>3</v>
      </c>
      <c r="I17" s="1">
        <v>3</v>
      </c>
      <c r="J17" s="1">
        <v>3</v>
      </c>
      <c r="K17" s="8">
        <v>3</v>
      </c>
      <c r="L17" s="8">
        <v>3</v>
      </c>
      <c r="M17" s="8">
        <v>5</v>
      </c>
      <c r="N17" s="8">
        <v>2</v>
      </c>
      <c r="O17" s="5">
        <v>0</v>
      </c>
      <c r="P17" s="12">
        <f>IFERROR(VLOOKUP(A17,'[1]Padronização 43'!$B:$Q,16,0),0)</f>
        <v>0</v>
      </c>
      <c r="Q17" s="5">
        <f t="shared" si="0"/>
        <v>0</v>
      </c>
      <c r="R17" s="5">
        <f t="shared" si="1"/>
        <v>0.125</v>
      </c>
      <c r="S17" s="5">
        <f t="shared" si="2"/>
        <v>0.125</v>
      </c>
    </row>
    <row r="18" spans="1:19" s="5" customFormat="1" ht="12" x14ac:dyDescent="0.3">
      <c r="A18" s="4">
        <v>430025093</v>
      </c>
      <c r="B18" s="4" t="s">
        <v>337</v>
      </c>
      <c r="C18" s="8">
        <v>24</v>
      </c>
      <c r="D18" s="8">
        <v>24</v>
      </c>
      <c r="E18" s="8">
        <v>28</v>
      </c>
      <c r="F18" s="8">
        <v>30</v>
      </c>
      <c r="G18" s="8">
        <v>30</v>
      </c>
      <c r="H18" s="1">
        <v>32</v>
      </c>
      <c r="I18" s="1">
        <v>32</v>
      </c>
      <c r="J18" s="1">
        <v>32</v>
      </c>
      <c r="K18" s="8">
        <v>33</v>
      </c>
      <c r="L18" s="8">
        <v>33</v>
      </c>
      <c r="M18" s="8">
        <v>48</v>
      </c>
      <c r="N18" s="8">
        <v>25</v>
      </c>
      <c r="O18" s="5">
        <v>0</v>
      </c>
      <c r="P18" s="12">
        <f>IFERROR(VLOOKUP(A18,'[1]Padronização 43'!$B:$Q,16,0),0)</f>
        <v>0</v>
      </c>
      <c r="Q18" s="5">
        <f t="shared" si="0"/>
        <v>0</v>
      </c>
      <c r="R18" s="5">
        <f t="shared" si="1"/>
        <v>1.3333333333333333</v>
      </c>
      <c r="S18" s="5">
        <f t="shared" si="2"/>
        <v>1.375</v>
      </c>
    </row>
    <row r="19" spans="1:19" s="5" customFormat="1" ht="12" x14ac:dyDescent="0.3">
      <c r="A19" s="4">
        <v>430025604</v>
      </c>
      <c r="B19" s="4" t="s">
        <v>338</v>
      </c>
      <c r="C19" s="8">
        <v>74</v>
      </c>
      <c r="D19" s="8">
        <v>74</v>
      </c>
      <c r="E19" s="8">
        <v>84</v>
      </c>
      <c r="F19" s="8">
        <v>91</v>
      </c>
      <c r="G19" s="8">
        <v>91</v>
      </c>
      <c r="H19" s="1">
        <v>96</v>
      </c>
      <c r="I19" s="1">
        <v>98</v>
      </c>
      <c r="J19" s="1">
        <v>98</v>
      </c>
      <c r="K19" s="8">
        <v>102</v>
      </c>
      <c r="L19" s="8">
        <v>102</v>
      </c>
      <c r="M19" s="8">
        <v>147</v>
      </c>
      <c r="N19" s="8">
        <v>76</v>
      </c>
      <c r="O19" s="5">
        <v>410025604</v>
      </c>
      <c r="P19" s="12">
        <f>IFERROR(VLOOKUP(A19,'[1]Padronização 43'!$B:$Q,16,0),0)</f>
        <v>24</v>
      </c>
      <c r="Q19" s="5">
        <f t="shared" si="0"/>
        <v>4.083333333333333</v>
      </c>
      <c r="R19" s="5">
        <f t="shared" si="1"/>
        <v>4.083333333333333</v>
      </c>
      <c r="S19" s="5">
        <f t="shared" si="2"/>
        <v>4.25</v>
      </c>
    </row>
    <row r="20" spans="1:19" s="5" customFormat="1" ht="12" x14ac:dyDescent="0.3">
      <c r="A20" s="4">
        <v>430025625</v>
      </c>
      <c r="B20" s="4" t="s">
        <v>288</v>
      </c>
      <c r="C20" s="8">
        <v>23</v>
      </c>
      <c r="D20" s="8">
        <v>23</v>
      </c>
      <c r="E20" s="8">
        <v>26</v>
      </c>
      <c r="F20" s="8">
        <v>28</v>
      </c>
      <c r="G20" s="8">
        <v>28</v>
      </c>
      <c r="H20" s="1">
        <v>30</v>
      </c>
      <c r="I20" s="1">
        <v>31</v>
      </c>
      <c r="J20" s="1">
        <v>31</v>
      </c>
      <c r="K20" s="8">
        <v>32</v>
      </c>
      <c r="L20" s="8">
        <v>32</v>
      </c>
      <c r="M20" s="8">
        <v>46</v>
      </c>
      <c r="N20" s="8">
        <v>23</v>
      </c>
      <c r="O20" s="5">
        <v>410025625</v>
      </c>
      <c r="P20" s="12">
        <f>IFERROR(VLOOKUP(A20,'[1]Padronização 43'!$B:$Q,16,0),0)</f>
        <v>24</v>
      </c>
      <c r="Q20" s="5">
        <f t="shared" si="0"/>
        <v>1.2916666666666667</v>
      </c>
      <c r="R20" s="5">
        <f t="shared" si="1"/>
        <v>1.2916666666666667</v>
      </c>
      <c r="S20" s="5">
        <f t="shared" si="2"/>
        <v>1.3333333333333333</v>
      </c>
    </row>
    <row r="21" spans="1:19" s="5" customFormat="1" ht="12" x14ac:dyDescent="0.3">
      <c r="A21" s="4">
        <v>430026208</v>
      </c>
      <c r="B21" s="4" t="s">
        <v>339</v>
      </c>
      <c r="C21" s="8">
        <v>53</v>
      </c>
      <c r="D21" s="8">
        <v>53</v>
      </c>
      <c r="E21" s="8">
        <v>60</v>
      </c>
      <c r="F21" s="8">
        <v>65</v>
      </c>
      <c r="G21" s="8">
        <v>65</v>
      </c>
      <c r="H21" s="1">
        <v>69</v>
      </c>
      <c r="I21" s="1">
        <v>71</v>
      </c>
      <c r="J21" s="1">
        <v>71</v>
      </c>
      <c r="K21" s="8">
        <v>73</v>
      </c>
      <c r="L21" s="8">
        <v>73</v>
      </c>
      <c r="M21" s="8">
        <v>105</v>
      </c>
      <c r="N21" s="8">
        <v>54</v>
      </c>
      <c r="O21" s="5">
        <v>410026208</v>
      </c>
      <c r="P21" s="12">
        <f>IFERROR(VLOOKUP(A21,'[1]Padronização 43'!$B:$Q,16,0),0)</f>
        <v>6</v>
      </c>
      <c r="Q21" s="5">
        <f t="shared" si="0"/>
        <v>11.833333333333334</v>
      </c>
      <c r="R21" s="5">
        <f t="shared" si="1"/>
        <v>2.9583333333333335</v>
      </c>
      <c r="S21" s="5">
        <f t="shared" si="2"/>
        <v>3.0416666666666665</v>
      </c>
    </row>
    <row r="22" spans="1:19" s="5" customFormat="1" ht="12" x14ac:dyDescent="0.3">
      <c r="A22" s="4">
        <v>430026401</v>
      </c>
      <c r="B22" s="4" t="s">
        <v>130</v>
      </c>
      <c r="C22" s="8">
        <v>204</v>
      </c>
      <c r="D22" s="8">
        <v>204</v>
      </c>
      <c r="E22" s="8">
        <v>232</v>
      </c>
      <c r="F22" s="8">
        <v>251</v>
      </c>
      <c r="G22" s="8">
        <v>251</v>
      </c>
      <c r="H22" s="1">
        <v>267</v>
      </c>
      <c r="I22" s="1">
        <v>273</v>
      </c>
      <c r="J22" s="1">
        <v>273</v>
      </c>
      <c r="K22" s="8">
        <v>282</v>
      </c>
      <c r="L22" s="8">
        <v>282</v>
      </c>
      <c r="M22" s="8">
        <v>408</v>
      </c>
      <c r="N22" s="8">
        <v>210</v>
      </c>
      <c r="O22" s="5">
        <v>410026401</v>
      </c>
      <c r="P22" s="12">
        <f>IFERROR(VLOOKUP(A22,'[1]Padronização 43'!$B:$Q,16,0),0)</f>
        <v>12</v>
      </c>
      <c r="Q22" s="5">
        <f t="shared" si="0"/>
        <v>22.75</v>
      </c>
      <c r="R22" s="5">
        <f t="shared" si="1"/>
        <v>11.375</v>
      </c>
      <c r="S22" s="5">
        <f t="shared" si="2"/>
        <v>11.75</v>
      </c>
    </row>
    <row r="23" spans="1:19" s="5" customFormat="1" ht="12" x14ac:dyDescent="0.3">
      <c r="A23" s="4">
        <v>430030002</v>
      </c>
      <c r="B23" s="4" t="s">
        <v>340</v>
      </c>
      <c r="C23" s="8">
        <v>19</v>
      </c>
      <c r="D23" s="8">
        <v>19</v>
      </c>
      <c r="E23" s="8">
        <v>22</v>
      </c>
      <c r="F23" s="8">
        <v>23</v>
      </c>
      <c r="G23" s="8">
        <v>23</v>
      </c>
      <c r="H23" s="1">
        <v>25</v>
      </c>
      <c r="I23" s="1">
        <v>26</v>
      </c>
      <c r="J23" s="1">
        <v>26</v>
      </c>
      <c r="K23" s="8">
        <v>26</v>
      </c>
      <c r="L23" s="8">
        <v>26</v>
      </c>
      <c r="M23" s="8">
        <v>38</v>
      </c>
      <c r="N23" s="8">
        <v>20</v>
      </c>
      <c r="O23" s="5">
        <v>410030002</v>
      </c>
      <c r="P23" s="12">
        <f>IFERROR(VLOOKUP(A23,'[1]Padronização 43'!$B:$Q,16,0),0)</f>
        <v>144</v>
      </c>
      <c r="Q23" s="5">
        <f t="shared" si="0"/>
        <v>0.18055555555555555</v>
      </c>
      <c r="R23" s="5">
        <f t="shared" si="1"/>
        <v>1.0833333333333333</v>
      </c>
      <c r="S23" s="5">
        <f t="shared" si="2"/>
        <v>1.0833333333333333</v>
      </c>
    </row>
    <row r="24" spans="1:19" s="5" customFormat="1" ht="12" x14ac:dyDescent="0.3">
      <c r="A24" s="4">
        <v>430030004</v>
      </c>
      <c r="B24" s="4" t="s">
        <v>341</v>
      </c>
      <c r="C24" s="8">
        <v>27</v>
      </c>
      <c r="D24" s="8">
        <v>27</v>
      </c>
      <c r="E24" s="8">
        <v>31</v>
      </c>
      <c r="F24" s="8">
        <v>33</v>
      </c>
      <c r="G24" s="8">
        <v>33</v>
      </c>
      <c r="H24" s="1">
        <v>36</v>
      </c>
      <c r="I24" s="1">
        <v>36</v>
      </c>
      <c r="J24" s="1">
        <v>36</v>
      </c>
      <c r="K24" s="8">
        <v>38</v>
      </c>
      <c r="L24" s="8">
        <v>38</v>
      </c>
      <c r="M24" s="8">
        <v>54</v>
      </c>
      <c r="N24" s="8">
        <v>28</v>
      </c>
      <c r="O24" s="5">
        <v>410030004</v>
      </c>
      <c r="P24" s="12">
        <f>IFERROR(VLOOKUP(A24,'[1]Padronização 43'!$B:$Q,16,0),0)</f>
        <v>12</v>
      </c>
      <c r="Q24" s="5">
        <f t="shared" si="0"/>
        <v>3</v>
      </c>
      <c r="R24" s="5">
        <f t="shared" si="1"/>
        <v>1.5</v>
      </c>
      <c r="S24" s="5">
        <f t="shared" si="2"/>
        <v>1.5833333333333333</v>
      </c>
    </row>
    <row r="25" spans="1:19" s="5" customFormat="1" ht="12" x14ac:dyDescent="0.3">
      <c r="A25" s="4">
        <v>430030202</v>
      </c>
      <c r="B25" s="4" t="s">
        <v>342</v>
      </c>
      <c r="C25" s="8">
        <v>23</v>
      </c>
      <c r="D25" s="8">
        <v>23</v>
      </c>
      <c r="E25" s="8">
        <v>26</v>
      </c>
      <c r="F25" s="8">
        <v>28</v>
      </c>
      <c r="G25" s="8">
        <v>28</v>
      </c>
      <c r="H25" s="1">
        <v>30</v>
      </c>
      <c r="I25" s="1">
        <v>30</v>
      </c>
      <c r="J25" s="1">
        <v>30</v>
      </c>
      <c r="K25" s="8">
        <v>31</v>
      </c>
      <c r="L25" s="8">
        <v>31</v>
      </c>
      <c r="M25" s="8">
        <v>45</v>
      </c>
      <c r="N25" s="8">
        <v>23</v>
      </c>
      <c r="O25" s="5">
        <v>410030202</v>
      </c>
      <c r="P25" s="12">
        <f>IFERROR(VLOOKUP(A25,'[1]Padronização 43'!$B:$Q,16,0),0)</f>
        <v>144</v>
      </c>
      <c r="Q25" s="5">
        <f t="shared" si="0"/>
        <v>0.20833333333333334</v>
      </c>
      <c r="R25" s="5">
        <f t="shared" si="1"/>
        <v>1.25</v>
      </c>
      <c r="S25" s="5">
        <f t="shared" si="2"/>
        <v>1.2916666666666667</v>
      </c>
    </row>
    <row r="26" spans="1:19" s="5" customFormat="1" ht="12" x14ac:dyDescent="0.3">
      <c r="A26" s="4">
        <v>430030204</v>
      </c>
      <c r="B26" s="4" t="s">
        <v>343</v>
      </c>
      <c r="C26" s="8">
        <v>34</v>
      </c>
      <c r="D26" s="8">
        <v>34</v>
      </c>
      <c r="E26" s="8">
        <v>39</v>
      </c>
      <c r="F26" s="8">
        <v>42</v>
      </c>
      <c r="G26" s="8">
        <v>42</v>
      </c>
      <c r="H26" s="1">
        <v>45</v>
      </c>
      <c r="I26" s="1">
        <v>46</v>
      </c>
      <c r="J26" s="1">
        <v>46</v>
      </c>
      <c r="K26" s="8">
        <v>47</v>
      </c>
      <c r="L26" s="8">
        <v>47</v>
      </c>
      <c r="M26" s="8">
        <v>68</v>
      </c>
      <c r="N26" s="8">
        <v>35</v>
      </c>
      <c r="O26" s="5">
        <v>410030204</v>
      </c>
      <c r="P26" s="12">
        <f>IFERROR(VLOOKUP(A26,'[1]Padronização 43'!$B:$Q,16,0),0)</f>
        <v>12</v>
      </c>
      <c r="Q26" s="5">
        <f t="shared" si="0"/>
        <v>3.8333333333333335</v>
      </c>
      <c r="R26" s="5">
        <f t="shared" si="1"/>
        <v>1.9166666666666667</v>
      </c>
      <c r="S26" s="5">
        <f t="shared" si="2"/>
        <v>1.9583333333333333</v>
      </c>
    </row>
    <row r="27" spans="1:19" s="5" customFormat="1" ht="12" x14ac:dyDescent="0.3">
      <c r="A27" s="4">
        <v>430030302</v>
      </c>
      <c r="B27" s="4" t="s">
        <v>344</v>
      </c>
      <c r="C27" s="8">
        <v>21</v>
      </c>
      <c r="D27" s="8">
        <v>21</v>
      </c>
      <c r="E27" s="8">
        <v>24</v>
      </c>
      <c r="F27" s="8">
        <v>26</v>
      </c>
      <c r="G27" s="8">
        <v>26</v>
      </c>
      <c r="H27" s="1">
        <v>28</v>
      </c>
      <c r="I27" s="1">
        <v>28</v>
      </c>
      <c r="J27" s="1">
        <v>28</v>
      </c>
      <c r="K27" s="8">
        <v>29</v>
      </c>
      <c r="L27" s="8">
        <v>29</v>
      </c>
      <c r="M27" s="8">
        <v>42</v>
      </c>
      <c r="N27" s="8">
        <v>22</v>
      </c>
      <c r="O27" s="5">
        <v>410030302</v>
      </c>
      <c r="P27" s="12">
        <f>IFERROR(VLOOKUP(A27,'[1]Padronização 43'!$B:$Q,16,0),0)</f>
        <v>144</v>
      </c>
      <c r="Q27" s="5">
        <f t="shared" si="0"/>
        <v>0.19444444444444445</v>
      </c>
      <c r="R27" s="5">
        <f t="shared" si="1"/>
        <v>1.1666666666666667</v>
      </c>
      <c r="S27" s="5">
        <f t="shared" si="2"/>
        <v>1.2083333333333333</v>
      </c>
    </row>
    <row r="28" spans="1:19" s="5" customFormat="1" ht="12" x14ac:dyDescent="0.3">
      <c r="A28" s="4">
        <v>430030304</v>
      </c>
      <c r="B28" s="4" t="s">
        <v>345</v>
      </c>
      <c r="C28" s="8">
        <v>13</v>
      </c>
      <c r="D28" s="8">
        <v>13</v>
      </c>
      <c r="E28" s="8">
        <v>15</v>
      </c>
      <c r="F28" s="8">
        <v>16</v>
      </c>
      <c r="G28" s="8">
        <v>16</v>
      </c>
      <c r="H28" s="1">
        <v>17</v>
      </c>
      <c r="I28" s="1">
        <v>18</v>
      </c>
      <c r="J28" s="1">
        <v>18</v>
      </c>
      <c r="K28" s="8">
        <v>18</v>
      </c>
      <c r="L28" s="8">
        <v>18</v>
      </c>
      <c r="M28" s="8">
        <v>26</v>
      </c>
      <c r="N28" s="8">
        <v>14</v>
      </c>
      <c r="O28" s="5">
        <v>410030304</v>
      </c>
      <c r="P28" s="12">
        <f>IFERROR(VLOOKUP(A28,'[1]Padronização 43'!$B:$Q,16,0),0)</f>
        <v>12</v>
      </c>
      <c r="Q28" s="5">
        <f t="shared" si="0"/>
        <v>1.5</v>
      </c>
      <c r="R28" s="5">
        <f t="shared" si="1"/>
        <v>0.75</v>
      </c>
      <c r="S28" s="5">
        <f t="shared" si="2"/>
        <v>0.75</v>
      </c>
    </row>
    <row r="29" spans="1:19" s="5" customFormat="1" ht="12" x14ac:dyDescent="0.3">
      <c r="A29" s="4">
        <v>430030602</v>
      </c>
      <c r="B29" s="4" t="s">
        <v>346</v>
      </c>
      <c r="C29" s="8">
        <v>23</v>
      </c>
      <c r="D29" s="8">
        <v>23</v>
      </c>
      <c r="E29" s="8">
        <v>26</v>
      </c>
      <c r="F29" s="8">
        <v>28</v>
      </c>
      <c r="G29" s="8">
        <v>28</v>
      </c>
      <c r="H29" s="1">
        <v>29</v>
      </c>
      <c r="I29" s="1">
        <v>30</v>
      </c>
      <c r="J29" s="1">
        <v>30</v>
      </c>
      <c r="K29" s="8">
        <v>31</v>
      </c>
      <c r="L29" s="8">
        <v>31</v>
      </c>
      <c r="M29" s="8">
        <v>45</v>
      </c>
      <c r="N29" s="8">
        <v>23</v>
      </c>
      <c r="O29" s="5">
        <v>410030602</v>
      </c>
      <c r="P29" s="12">
        <f>IFERROR(VLOOKUP(A29,'[1]Padronização 43'!$B:$Q,16,0),0)</f>
        <v>144</v>
      </c>
      <c r="Q29" s="5">
        <f t="shared" si="0"/>
        <v>0.20833333333333334</v>
      </c>
      <c r="R29" s="5">
        <f t="shared" si="1"/>
        <v>1.25</v>
      </c>
      <c r="S29" s="5">
        <f t="shared" si="2"/>
        <v>1.2916666666666667</v>
      </c>
    </row>
    <row r="30" spans="1:19" s="5" customFormat="1" ht="12" x14ac:dyDescent="0.3">
      <c r="A30" s="4">
        <v>430030604</v>
      </c>
      <c r="B30" s="4" t="s">
        <v>347</v>
      </c>
      <c r="C30" s="8">
        <v>34</v>
      </c>
      <c r="D30" s="8">
        <v>34</v>
      </c>
      <c r="E30" s="8">
        <v>39</v>
      </c>
      <c r="F30" s="8">
        <v>42</v>
      </c>
      <c r="G30" s="8">
        <v>42</v>
      </c>
      <c r="H30" s="1">
        <v>45</v>
      </c>
      <c r="I30" s="1">
        <v>46</v>
      </c>
      <c r="J30" s="1">
        <v>46</v>
      </c>
      <c r="K30" s="8">
        <v>47</v>
      </c>
      <c r="L30" s="8">
        <v>47</v>
      </c>
      <c r="M30" s="8">
        <v>68</v>
      </c>
      <c r="N30" s="8">
        <v>35</v>
      </c>
      <c r="O30" s="5">
        <v>410030604</v>
      </c>
      <c r="P30" s="12">
        <f>IFERROR(VLOOKUP(A30,'[1]Padronização 43'!$B:$Q,16,0),0)</f>
        <v>12</v>
      </c>
      <c r="Q30" s="5">
        <f t="shared" si="0"/>
        <v>3.8333333333333335</v>
      </c>
      <c r="R30" s="5">
        <f t="shared" si="1"/>
        <v>1.9166666666666667</v>
      </c>
      <c r="S30" s="5">
        <f t="shared" si="2"/>
        <v>1.9583333333333333</v>
      </c>
    </row>
    <row r="31" spans="1:19" s="5" customFormat="1" ht="12" x14ac:dyDescent="0.3">
      <c r="A31" s="4">
        <v>430030702</v>
      </c>
      <c r="B31" s="4" t="s">
        <v>348</v>
      </c>
      <c r="C31" s="8">
        <v>37</v>
      </c>
      <c r="D31" s="8">
        <v>37</v>
      </c>
      <c r="E31" s="8">
        <v>43</v>
      </c>
      <c r="F31" s="8">
        <v>46</v>
      </c>
      <c r="G31" s="8">
        <v>46</v>
      </c>
      <c r="H31" s="1">
        <v>49</v>
      </c>
      <c r="I31" s="1">
        <v>50</v>
      </c>
      <c r="J31" s="1">
        <v>50</v>
      </c>
      <c r="K31" s="8">
        <v>52</v>
      </c>
      <c r="L31" s="8">
        <v>52</v>
      </c>
      <c r="M31" s="8">
        <v>75</v>
      </c>
      <c r="N31" s="8">
        <v>39</v>
      </c>
      <c r="O31" s="5">
        <v>410030702</v>
      </c>
      <c r="P31" s="12">
        <f>IFERROR(VLOOKUP(A31,'[1]Padronização 43'!$B:$Q,16,0),0)</f>
        <v>144</v>
      </c>
      <c r="Q31" s="5">
        <f t="shared" si="0"/>
        <v>0.34722222222222221</v>
      </c>
      <c r="R31" s="5">
        <f t="shared" si="1"/>
        <v>2.0833333333333335</v>
      </c>
      <c r="S31" s="5">
        <f t="shared" si="2"/>
        <v>2.1666666666666665</v>
      </c>
    </row>
    <row r="32" spans="1:19" s="5" customFormat="1" ht="12" x14ac:dyDescent="0.3">
      <c r="A32" s="4">
        <v>430030704</v>
      </c>
      <c r="B32" s="4" t="s">
        <v>349</v>
      </c>
      <c r="C32" s="8">
        <v>18</v>
      </c>
      <c r="D32" s="8">
        <v>18</v>
      </c>
      <c r="E32" s="8">
        <v>20</v>
      </c>
      <c r="F32" s="8">
        <v>22</v>
      </c>
      <c r="G32" s="8">
        <v>22</v>
      </c>
      <c r="H32" s="1">
        <v>23</v>
      </c>
      <c r="I32" s="1">
        <v>24</v>
      </c>
      <c r="J32" s="1">
        <v>24</v>
      </c>
      <c r="K32" s="8">
        <v>24</v>
      </c>
      <c r="L32" s="8">
        <v>24</v>
      </c>
      <c r="M32" s="8">
        <v>35</v>
      </c>
      <c r="N32" s="8">
        <v>18</v>
      </c>
      <c r="O32" s="5">
        <v>410030704</v>
      </c>
      <c r="P32" s="12">
        <f>IFERROR(VLOOKUP(A32,'[1]Padronização 43'!$B:$Q,16,0),0)</f>
        <v>12</v>
      </c>
      <c r="Q32" s="5">
        <f t="shared" si="0"/>
        <v>2</v>
      </c>
      <c r="R32" s="5">
        <f t="shared" si="1"/>
        <v>1</v>
      </c>
      <c r="S32" s="5">
        <f t="shared" si="2"/>
        <v>1</v>
      </c>
    </row>
    <row r="33" spans="1:19" s="5" customFormat="1" ht="12" x14ac:dyDescent="0.3">
      <c r="A33" s="4">
        <v>430030910</v>
      </c>
      <c r="B33" s="4" t="s">
        <v>350</v>
      </c>
      <c r="C33" s="8">
        <v>5</v>
      </c>
      <c r="D33" s="8">
        <v>5</v>
      </c>
      <c r="E33" s="8">
        <v>6</v>
      </c>
      <c r="F33" s="8">
        <v>6</v>
      </c>
      <c r="G33" s="8">
        <v>6</v>
      </c>
      <c r="H33" s="1">
        <v>6</v>
      </c>
      <c r="I33" s="1">
        <v>7</v>
      </c>
      <c r="J33" s="1">
        <v>7</v>
      </c>
      <c r="K33" s="8">
        <v>7</v>
      </c>
      <c r="L33" s="8">
        <v>7</v>
      </c>
      <c r="M33" s="8">
        <v>10</v>
      </c>
      <c r="N33" s="8">
        <v>5</v>
      </c>
      <c r="O33" s="5">
        <v>410030908</v>
      </c>
      <c r="P33" s="12">
        <f>IFERROR(VLOOKUP(A33,'[1]Padronização 43'!$B:$Q,16,0),0)</f>
        <v>72</v>
      </c>
      <c r="Q33" s="5">
        <f t="shared" si="0"/>
        <v>9.7222222222222224E-2</v>
      </c>
      <c r="R33" s="5">
        <f t="shared" si="1"/>
        <v>0.29166666666666669</v>
      </c>
      <c r="S33" s="5">
        <f t="shared" si="2"/>
        <v>0.29166666666666669</v>
      </c>
    </row>
    <row r="34" spans="1:19" s="5" customFormat="1" ht="12" x14ac:dyDescent="0.3">
      <c r="A34" s="4">
        <v>430030911</v>
      </c>
      <c r="B34" s="4" t="s">
        <v>351</v>
      </c>
      <c r="C34" s="8">
        <v>16</v>
      </c>
      <c r="D34" s="8">
        <v>16</v>
      </c>
      <c r="E34" s="8">
        <v>18</v>
      </c>
      <c r="F34" s="8">
        <v>19</v>
      </c>
      <c r="G34" s="8">
        <v>19</v>
      </c>
      <c r="H34" s="1">
        <v>20</v>
      </c>
      <c r="I34" s="1">
        <v>21</v>
      </c>
      <c r="J34" s="1">
        <v>21</v>
      </c>
      <c r="K34" s="8">
        <v>22</v>
      </c>
      <c r="L34" s="8">
        <v>22</v>
      </c>
      <c r="M34" s="8">
        <v>31</v>
      </c>
      <c r="N34" s="8">
        <v>16</v>
      </c>
      <c r="O34" s="5">
        <v>410030908</v>
      </c>
      <c r="P34" s="12">
        <f>IFERROR(VLOOKUP(A34,'[1]Padronização 43'!$B:$Q,16,0),0)</f>
        <v>72</v>
      </c>
      <c r="Q34" s="5">
        <f t="shared" si="0"/>
        <v>0.29166666666666669</v>
      </c>
      <c r="R34" s="5">
        <f t="shared" si="1"/>
        <v>0.875</v>
      </c>
      <c r="S34" s="5">
        <f t="shared" si="2"/>
        <v>0.91666666666666663</v>
      </c>
    </row>
    <row r="35" spans="1:19" s="5" customFormat="1" ht="12" x14ac:dyDescent="0.3">
      <c r="A35" s="4">
        <v>430031010</v>
      </c>
      <c r="B35" s="4" t="s">
        <v>352</v>
      </c>
      <c r="C35" s="8">
        <v>9</v>
      </c>
      <c r="D35" s="8">
        <v>9</v>
      </c>
      <c r="E35" s="8">
        <v>11</v>
      </c>
      <c r="F35" s="8">
        <v>12</v>
      </c>
      <c r="G35" s="8">
        <v>12</v>
      </c>
      <c r="H35" s="1">
        <v>12</v>
      </c>
      <c r="I35" s="1">
        <v>13</v>
      </c>
      <c r="J35" s="1">
        <v>13</v>
      </c>
      <c r="K35" s="8">
        <v>13</v>
      </c>
      <c r="L35" s="8">
        <v>13</v>
      </c>
      <c r="M35" s="8">
        <v>19</v>
      </c>
      <c r="N35" s="8">
        <v>10</v>
      </c>
      <c r="O35" s="5">
        <v>410031008</v>
      </c>
      <c r="P35" s="12">
        <f>IFERROR(VLOOKUP(A35,'[1]Padronização 43'!$B:$Q,16,0),0)</f>
        <v>72</v>
      </c>
      <c r="Q35" s="5">
        <f t="shared" si="0"/>
        <v>0.18055555555555555</v>
      </c>
      <c r="R35" s="5">
        <f t="shared" si="1"/>
        <v>0.54166666666666663</v>
      </c>
      <c r="S35" s="5">
        <f t="shared" si="2"/>
        <v>0.54166666666666663</v>
      </c>
    </row>
    <row r="36" spans="1:19" s="5" customFormat="1" ht="12" x14ac:dyDescent="0.3">
      <c r="A36" s="4">
        <v>430031011</v>
      </c>
      <c r="B36" s="4" t="s">
        <v>353</v>
      </c>
      <c r="C36" s="8">
        <v>9</v>
      </c>
      <c r="D36" s="8">
        <v>9</v>
      </c>
      <c r="E36" s="8">
        <v>10</v>
      </c>
      <c r="F36" s="8">
        <v>11</v>
      </c>
      <c r="G36" s="8">
        <v>11</v>
      </c>
      <c r="H36" s="1">
        <v>12</v>
      </c>
      <c r="I36" s="1">
        <v>12</v>
      </c>
      <c r="J36" s="1">
        <v>12</v>
      </c>
      <c r="K36" s="8">
        <v>12</v>
      </c>
      <c r="L36" s="8">
        <v>12</v>
      </c>
      <c r="M36" s="8">
        <v>18</v>
      </c>
      <c r="N36" s="8">
        <v>9</v>
      </c>
      <c r="O36" s="5">
        <v>410031008</v>
      </c>
      <c r="P36" s="12">
        <f>IFERROR(VLOOKUP(A36,'[1]Padronização 43'!$B:$Q,16,0),0)</f>
        <v>72</v>
      </c>
      <c r="Q36" s="5">
        <f t="shared" si="0"/>
        <v>0.16666666666666666</v>
      </c>
      <c r="R36" s="5">
        <f t="shared" si="1"/>
        <v>0.5</v>
      </c>
      <c r="S36" s="5">
        <f t="shared" si="2"/>
        <v>0.5</v>
      </c>
    </row>
    <row r="37" spans="1:19" s="5" customFormat="1" ht="12" x14ac:dyDescent="0.3">
      <c r="A37" s="4">
        <v>430031110</v>
      </c>
      <c r="B37" s="4" t="s">
        <v>354</v>
      </c>
      <c r="C37" s="8">
        <v>10</v>
      </c>
      <c r="D37" s="8">
        <v>10</v>
      </c>
      <c r="E37" s="8">
        <v>11</v>
      </c>
      <c r="F37" s="8">
        <v>12</v>
      </c>
      <c r="G37" s="8">
        <v>12</v>
      </c>
      <c r="H37" s="1">
        <v>13</v>
      </c>
      <c r="I37" s="1">
        <v>13</v>
      </c>
      <c r="J37" s="1">
        <v>13</v>
      </c>
      <c r="K37" s="8">
        <v>14</v>
      </c>
      <c r="L37" s="8">
        <v>14</v>
      </c>
      <c r="M37" s="8">
        <v>20</v>
      </c>
      <c r="N37" s="8">
        <v>10</v>
      </c>
      <c r="O37" s="5">
        <v>410031108</v>
      </c>
      <c r="P37" s="12">
        <f>IFERROR(VLOOKUP(A37,'[1]Padronização 43'!$B:$Q,16,0),0)</f>
        <v>72</v>
      </c>
      <c r="Q37" s="5">
        <f t="shared" si="0"/>
        <v>0.18055555555555555</v>
      </c>
      <c r="R37" s="5">
        <f t="shared" si="1"/>
        <v>0.54166666666666663</v>
      </c>
      <c r="S37" s="5">
        <f t="shared" si="2"/>
        <v>0.58333333333333337</v>
      </c>
    </row>
    <row r="38" spans="1:19" s="5" customFormat="1" ht="12" x14ac:dyDescent="0.3">
      <c r="A38" s="4">
        <v>430031111</v>
      </c>
      <c r="B38" s="4" t="s">
        <v>355</v>
      </c>
      <c r="C38" s="8">
        <v>11</v>
      </c>
      <c r="D38" s="8">
        <v>11</v>
      </c>
      <c r="E38" s="8">
        <v>12</v>
      </c>
      <c r="F38" s="8">
        <v>13</v>
      </c>
      <c r="G38" s="8">
        <v>13</v>
      </c>
      <c r="H38" s="1">
        <v>14</v>
      </c>
      <c r="I38" s="1">
        <v>15</v>
      </c>
      <c r="J38" s="1">
        <v>15</v>
      </c>
      <c r="K38" s="8">
        <v>15</v>
      </c>
      <c r="L38" s="8">
        <v>15</v>
      </c>
      <c r="M38" s="8">
        <v>22</v>
      </c>
      <c r="N38" s="8">
        <v>11</v>
      </c>
      <c r="O38" s="5">
        <v>410031108</v>
      </c>
      <c r="P38" s="12">
        <f>IFERROR(VLOOKUP(A38,'[1]Padronização 43'!$B:$Q,16,0),0)</f>
        <v>72</v>
      </c>
      <c r="Q38" s="5">
        <f t="shared" si="0"/>
        <v>0.20833333333333334</v>
      </c>
      <c r="R38" s="5">
        <f t="shared" si="1"/>
        <v>0.625</v>
      </c>
      <c r="S38" s="5">
        <f t="shared" si="2"/>
        <v>0.625</v>
      </c>
    </row>
    <row r="39" spans="1:19" s="5" customFormat="1" ht="12" x14ac:dyDescent="0.3">
      <c r="A39" s="4">
        <v>430031210</v>
      </c>
      <c r="B39" s="4" t="s">
        <v>356</v>
      </c>
      <c r="C39" s="8">
        <v>9</v>
      </c>
      <c r="D39" s="8">
        <v>9</v>
      </c>
      <c r="E39" s="8">
        <v>11</v>
      </c>
      <c r="F39" s="8">
        <v>11</v>
      </c>
      <c r="G39" s="8">
        <v>11</v>
      </c>
      <c r="H39" s="1">
        <v>12</v>
      </c>
      <c r="I39" s="1">
        <v>12</v>
      </c>
      <c r="J39" s="1">
        <v>12</v>
      </c>
      <c r="K39" s="8">
        <v>13</v>
      </c>
      <c r="L39" s="8">
        <v>13</v>
      </c>
      <c r="M39" s="8">
        <v>19</v>
      </c>
      <c r="N39" s="8">
        <v>10</v>
      </c>
      <c r="O39" s="5">
        <v>410031208</v>
      </c>
      <c r="P39" s="12">
        <f>IFERROR(VLOOKUP(A39,'[1]Padronização 43'!$B:$Q,16,0),0)</f>
        <v>72</v>
      </c>
      <c r="Q39" s="5">
        <f t="shared" si="0"/>
        <v>0.16666666666666666</v>
      </c>
      <c r="R39" s="5">
        <f t="shared" si="1"/>
        <v>0.5</v>
      </c>
      <c r="S39" s="5">
        <f t="shared" si="2"/>
        <v>0.54166666666666663</v>
      </c>
    </row>
    <row r="40" spans="1:19" s="5" customFormat="1" ht="12" x14ac:dyDescent="0.3">
      <c r="A40" s="4">
        <v>430031211</v>
      </c>
      <c r="B40" s="4" t="s">
        <v>357</v>
      </c>
      <c r="C40" s="8">
        <v>16</v>
      </c>
      <c r="D40" s="8">
        <v>16</v>
      </c>
      <c r="E40" s="8">
        <v>19</v>
      </c>
      <c r="F40" s="8">
        <v>20</v>
      </c>
      <c r="G40" s="8">
        <v>20</v>
      </c>
      <c r="H40" s="1">
        <v>21</v>
      </c>
      <c r="I40" s="1">
        <v>22</v>
      </c>
      <c r="J40" s="1">
        <v>22</v>
      </c>
      <c r="K40" s="8">
        <v>23</v>
      </c>
      <c r="L40" s="8">
        <v>23</v>
      </c>
      <c r="M40" s="8">
        <v>33</v>
      </c>
      <c r="N40" s="8">
        <v>17</v>
      </c>
      <c r="O40" s="5">
        <v>410031208</v>
      </c>
      <c r="P40" s="12">
        <f>IFERROR(VLOOKUP(A40,'[1]Padronização 43'!$B:$Q,16,0),0)</f>
        <v>72</v>
      </c>
      <c r="Q40" s="5">
        <f t="shared" si="0"/>
        <v>0.30555555555555558</v>
      </c>
      <c r="R40" s="5">
        <f t="shared" si="1"/>
        <v>0.91666666666666663</v>
      </c>
      <c r="S40" s="5">
        <f t="shared" si="2"/>
        <v>0.95833333333333337</v>
      </c>
    </row>
    <row r="41" spans="1:19" s="5" customFormat="1" ht="12" x14ac:dyDescent="0.3">
      <c r="A41" s="4">
        <v>430031711</v>
      </c>
      <c r="B41" s="4" t="s">
        <v>358</v>
      </c>
      <c r="C41" s="8">
        <v>22</v>
      </c>
      <c r="D41" s="8">
        <v>22</v>
      </c>
      <c r="E41" s="8">
        <v>25</v>
      </c>
      <c r="F41" s="8">
        <v>27</v>
      </c>
      <c r="G41" s="8">
        <v>27</v>
      </c>
      <c r="H41" s="1">
        <v>29</v>
      </c>
      <c r="I41" s="1">
        <v>29</v>
      </c>
      <c r="J41" s="1">
        <v>29</v>
      </c>
      <c r="K41" s="8">
        <v>30</v>
      </c>
      <c r="L41" s="8">
        <v>30</v>
      </c>
      <c r="M41" s="8">
        <v>44</v>
      </c>
      <c r="N41" s="8">
        <v>22</v>
      </c>
      <c r="O41" s="5">
        <v>410031709</v>
      </c>
      <c r="P41" s="12">
        <f>IFERROR(VLOOKUP(A41,'[1]Padronização 43'!$B:$Q,16,0),0)</f>
        <v>72</v>
      </c>
      <c r="Q41" s="5">
        <f t="shared" si="0"/>
        <v>0.40277777777777779</v>
      </c>
      <c r="R41" s="5">
        <f t="shared" si="1"/>
        <v>1.2083333333333333</v>
      </c>
      <c r="S41" s="5">
        <f t="shared" si="2"/>
        <v>1.25</v>
      </c>
    </row>
    <row r="42" spans="1:19" s="5" customFormat="1" ht="12" x14ac:dyDescent="0.3">
      <c r="A42" s="4">
        <v>430031810</v>
      </c>
      <c r="B42" s="4" t="s">
        <v>359</v>
      </c>
      <c r="C42" s="8">
        <v>22</v>
      </c>
      <c r="D42" s="8">
        <v>22</v>
      </c>
      <c r="E42" s="8">
        <v>25</v>
      </c>
      <c r="F42" s="8">
        <v>27</v>
      </c>
      <c r="G42" s="8">
        <v>27</v>
      </c>
      <c r="H42" s="1">
        <v>29</v>
      </c>
      <c r="I42" s="1">
        <v>30</v>
      </c>
      <c r="J42" s="1">
        <v>30</v>
      </c>
      <c r="K42" s="8">
        <v>31</v>
      </c>
      <c r="L42" s="8">
        <v>31</v>
      </c>
      <c r="M42" s="8">
        <v>44</v>
      </c>
      <c r="N42" s="8">
        <v>23</v>
      </c>
      <c r="O42" s="5">
        <v>410031709</v>
      </c>
      <c r="P42" s="12">
        <f>IFERROR(VLOOKUP(A42,'[1]Padronização 43'!$B:$Q,16,0),0)</f>
        <v>72</v>
      </c>
      <c r="Q42" s="5">
        <f t="shared" si="0"/>
        <v>0.41666666666666669</v>
      </c>
      <c r="R42" s="5">
        <f t="shared" si="1"/>
        <v>1.25</v>
      </c>
      <c r="S42" s="5">
        <f t="shared" si="2"/>
        <v>1.2916666666666667</v>
      </c>
    </row>
    <row r="43" spans="1:19" s="5" customFormat="1" ht="12" x14ac:dyDescent="0.3">
      <c r="A43" s="4">
        <v>430031811</v>
      </c>
      <c r="B43" s="4" t="s">
        <v>360</v>
      </c>
      <c r="C43" s="8">
        <v>22</v>
      </c>
      <c r="D43" s="8">
        <v>22</v>
      </c>
      <c r="E43" s="8">
        <v>25</v>
      </c>
      <c r="F43" s="8">
        <v>27</v>
      </c>
      <c r="G43" s="8">
        <v>27</v>
      </c>
      <c r="H43" s="1">
        <v>29</v>
      </c>
      <c r="I43" s="1">
        <v>29</v>
      </c>
      <c r="J43" s="1">
        <v>29</v>
      </c>
      <c r="K43" s="8">
        <v>30</v>
      </c>
      <c r="L43" s="8">
        <v>30</v>
      </c>
      <c r="M43" s="8">
        <v>44</v>
      </c>
      <c r="N43" s="8">
        <v>23</v>
      </c>
      <c r="O43" s="5">
        <v>410031809</v>
      </c>
      <c r="P43" s="12">
        <f>IFERROR(VLOOKUP(A43,'[1]Padronização 43'!$B:$Q,16,0),0)</f>
        <v>72</v>
      </c>
      <c r="Q43" s="5">
        <f t="shared" si="0"/>
        <v>0.40277777777777779</v>
      </c>
      <c r="R43" s="5">
        <f t="shared" si="1"/>
        <v>1.2083333333333333</v>
      </c>
      <c r="S43" s="5">
        <f t="shared" si="2"/>
        <v>1.25</v>
      </c>
    </row>
    <row r="44" spans="1:19" s="5" customFormat="1" ht="12" x14ac:dyDescent="0.3">
      <c r="A44" s="4">
        <v>430031812</v>
      </c>
      <c r="B44" s="4" t="s">
        <v>361</v>
      </c>
      <c r="C44" s="8">
        <v>9</v>
      </c>
      <c r="D44" s="8">
        <v>9</v>
      </c>
      <c r="E44" s="8">
        <v>10</v>
      </c>
      <c r="F44" s="8">
        <v>10</v>
      </c>
      <c r="G44" s="8">
        <v>10</v>
      </c>
      <c r="H44" s="1">
        <v>11</v>
      </c>
      <c r="I44" s="1">
        <v>11</v>
      </c>
      <c r="J44" s="1">
        <v>11</v>
      </c>
      <c r="K44" s="8">
        <v>12</v>
      </c>
      <c r="L44" s="8">
        <v>12</v>
      </c>
      <c r="M44" s="8">
        <v>17</v>
      </c>
      <c r="N44" s="8">
        <v>9</v>
      </c>
      <c r="O44" s="5">
        <v>410031809</v>
      </c>
      <c r="P44" s="12">
        <f>IFERROR(VLOOKUP(A44,'[1]Padronização 43'!$B:$Q,16,0),0)</f>
        <v>72</v>
      </c>
      <c r="Q44" s="5">
        <f t="shared" si="0"/>
        <v>0.15277777777777779</v>
      </c>
      <c r="R44" s="5">
        <f t="shared" si="1"/>
        <v>0.45833333333333331</v>
      </c>
      <c r="S44" s="5">
        <f t="shared" si="2"/>
        <v>0.5</v>
      </c>
    </row>
    <row r="45" spans="1:19" s="5" customFormat="1" ht="12" x14ac:dyDescent="0.3">
      <c r="A45" s="4">
        <v>430031911</v>
      </c>
      <c r="B45" s="4" t="s">
        <v>362</v>
      </c>
      <c r="C45" s="8">
        <v>20</v>
      </c>
      <c r="D45" s="8">
        <v>20</v>
      </c>
      <c r="E45" s="8">
        <v>22</v>
      </c>
      <c r="F45" s="8">
        <v>24</v>
      </c>
      <c r="G45" s="8">
        <v>24</v>
      </c>
      <c r="H45" s="1">
        <v>26</v>
      </c>
      <c r="I45" s="1">
        <v>26</v>
      </c>
      <c r="J45" s="1">
        <v>26</v>
      </c>
      <c r="K45" s="8">
        <v>27</v>
      </c>
      <c r="L45" s="8">
        <v>27</v>
      </c>
      <c r="M45" s="8">
        <v>39</v>
      </c>
      <c r="N45" s="8">
        <v>20</v>
      </c>
      <c r="O45" s="5">
        <v>410031909</v>
      </c>
      <c r="P45" s="12">
        <f>IFERROR(VLOOKUP(A45,'[1]Padronização 43'!$B:$Q,16,0),0)</f>
        <v>72</v>
      </c>
      <c r="Q45" s="5">
        <f t="shared" si="0"/>
        <v>0.3611111111111111</v>
      </c>
      <c r="R45" s="5">
        <f t="shared" si="1"/>
        <v>1.0833333333333333</v>
      </c>
      <c r="S45" s="5">
        <f t="shared" si="2"/>
        <v>1.125</v>
      </c>
    </row>
    <row r="46" spans="1:19" s="5" customFormat="1" ht="12" x14ac:dyDescent="0.3">
      <c r="A46" s="4">
        <v>430031912</v>
      </c>
      <c r="B46" s="4" t="s">
        <v>363</v>
      </c>
      <c r="C46" s="8">
        <v>10</v>
      </c>
      <c r="D46" s="8">
        <v>10</v>
      </c>
      <c r="E46" s="8">
        <v>12</v>
      </c>
      <c r="F46" s="8">
        <v>13</v>
      </c>
      <c r="G46" s="8">
        <v>13</v>
      </c>
      <c r="H46" s="1">
        <v>13</v>
      </c>
      <c r="I46" s="1">
        <v>14</v>
      </c>
      <c r="J46" s="1">
        <v>14</v>
      </c>
      <c r="K46" s="8">
        <v>14</v>
      </c>
      <c r="L46" s="8">
        <v>14</v>
      </c>
      <c r="M46" s="8">
        <v>21</v>
      </c>
      <c r="N46" s="8">
        <v>11</v>
      </c>
      <c r="O46" s="5">
        <v>410031909</v>
      </c>
      <c r="P46" s="12">
        <f>IFERROR(VLOOKUP(A46,'[1]Padronização 43'!$B:$Q,16,0),0)</f>
        <v>72</v>
      </c>
      <c r="Q46" s="5">
        <f t="shared" si="0"/>
        <v>0.19444444444444445</v>
      </c>
      <c r="R46" s="5">
        <f t="shared" si="1"/>
        <v>0.58333333333333337</v>
      </c>
      <c r="S46" s="5">
        <f t="shared" si="2"/>
        <v>0.58333333333333337</v>
      </c>
    </row>
    <row r="47" spans="1:19" s="5" customFormat="1" ht="12" x14ac:dyDescent="0.3">
      <c r="A47" s="4">
        <v>430032011</v>
      </c>
      <c r="B47" s="4" t="s">
        <v>364</v>
      </c>
      <c r="C47" s="8">
        <v>20</v>
      </c>
      <c r="D47" s="8">
        <v>20</v>
      </c>
      <c r="E47" s="8">
        <v>23</v>
      </c>
      <c r="F47" s="8">
        <v>24</v>
      </c>
      <c r="G47" s="8">
        <v>24</v>
      </c>
      <c r="H47" s="1">
        <v>26</v>
      </c>
      <c r="I47" s="1">
        <v>27</v>
      </c>
      <c r="J47" s="1">
        <v>27</v>
      </c>
      <c r="K47" s="8">
        <v>28</v>
      </c>
      <c r="L47" s="8">
        <v>28</v>
      </c>
      <c r="M47" s="8">
        <v>40</v>
      </c>
      <c r="N47" s="8">
        <v>21</v>
      </c>
      <c r="O47" s="5">
        <v>410032009</v>
      </c>
      <c r="P47" s="12">
        <f>IFERROR(VLOOKUP(A47,'[1]Padronização 43'!$B:$Q,16,0),0)</f>
        <v>72</v>
      </c>
      <c r="Q47" s="5">
        <f t="shared" si="0"/>
        <v>0.375</v>
      </c>
      <c r="R47" s="5">
        <f t="shared" si="1"/>
        <v>1.125</v>
      </c>
      <c r="S47" s="5">
        <f t="shared" si="2"/>
        <v>1.1666666666666667</v>
      </c>
    </row>
    <row r="48" spans="1:19" s="5" customFormat="1" ht="12" x14ac:dyDescent="0.3">
      <c r="A48" s="4">
        <v>430032012</v>
      </c>
      <c r="B48" s="4" t="s">
        <v>365</v>
      </c>
      <c r="C48" s="8">
        <v>6</v>
      </c>
      <c r="D48" s="8">
        <v>6</v>
      </c>
      <c r="E48" s="8">
        <v>7</v>
      </c>
      <c r="F48" s="8">
        <v>8</v>
      </c>
      <c r="G48" s="8">
        <v>8</v>
      </c>
      <c r="H48" s="1">
        <v>8</v>
      </c>
      <c r="I48" s="1">
        <v>8</v>
      </c>
      <c r="J48" s="1">
        <v>8</v>
      </c>
      <c r="K48" s="8">
        <v>9</v>
      </c>
      <c r="L48" s="8">
        <v>9</v>
      </c>
      <c r="M48" s="8">
        <v>13</v>
      </c>
      <c r="N48" s="8">
        <v>7</v>
      </c>
      <c r="O48" s="5">
        <v>410032009</v>
      </c>
      <c r="P48" s="12">
        <f>IFERROR(VLOOKUP(A48,'[1]Padronização 43'!$B:$Q,16,0),0)</f>
        <v>72</v>
      </c>
      <c r="Q48" s="5">
        <f t="shared" si="0"/>
        <v>0.1111111111111111</v>
      </c>
      <c r="R48" s="5">
        <f t="shared" si="1"/>
        <v>0.33333333333333331</v>
      </c>
      <c r="S48" s="5">
        <f t="shared" si="2"/>
        <v>0.375</v>
      </c>
    </row>
    <row r="49" spans="1:19" s="5" customFormat="1" ht="12" x14ac:dyDescent="0.3">
      <c r="A49" s="4">
        <v>430032110</v>
      </c>
      <c r="B49" s="4" t="s">
        <v>366</v>
      </c>
      <c r="C49" s="8">
        <v>9</v>
      </c>
      <c r="D49" s="8">
        <v>9</v>
      </c>
      <c r="E49" s="8">
        <v>11</v>
      </c>
      <c r="F49" s="8">
        <v>11</v>
      </c>
      <c r="G49" s="8">
        <v>11</v>
      </c>
      <c r="H49" s="1">
        <v>12</v>
      </c>
      <c r="I49" s="1">
        <v>12</v>
      </c>
      <c r="J49" s="1">
        <v>12</v>
      </c>
      <c r="K49" s="8">
        <v>13</v>
      </c>
      <c r="L49" s="8">
        <v>13</v>
      </c>
      <c r="M49" s="8">
        <v>19</v>
      </c>
      <c r="N49" s="8">
        <v>10</v>
      </c>
      <c r="O49" s="5">
        <v>410032108</v>
      </c>
      <c r="P49" s="12">
        <f>IFERROR(VLOOKUP(A49,'[1]Padronização 43'!$B:$Q,16,0),0)</f>
        <v>72</v>
      </c>
      <c r="Q49" s="5">
        <f t="shared" si="0"/>
        <v>0.16666666666666666</v>
      </c>
      <c r="R49" s="5">
        <f t="shared" si="1"/>
        <v>0.5</v>
      </c>
      <c r="S49" s="5">
        <f t="shared" si="2"/>
        <v>0.54166666666666663</v>
      </c>
    </row>
    <row r="50" spans="1:19" s="5" customFormat="1" ht="12" x14ac:dyDescent="0.3">
      <c r="A50" s="4">
        <v>430032111</v>
      </c>
      <c r="B50" s="4" t="s">
        <v>367</v>
      </c>
      <c r="C50" s="8">
        <v>19</v>
      </c>
      <c r="D50" s="8">
        <v>19</v>
      </c>
      <c r="E50" s="8">
        <v>22</v>
      </c>
      <c r="F50" s="8">
        <v>24</v>
      </c>
      <c r="G50" s="8">
        <v>24</v>
      </c>
      <c r="H50" s="1">
        <v>25</v>
      </c>
      <c r="I50" s="1">
        <v>26</v>
      </c>
      <c r="J50" s="1">
        <v>26</v>
      </c>
      <c r="K50" s="8">
        <v>27</v>
      </c>
      <c r="L50" s="8">
        <v>27</v>
      </c>
      <c r="M50" s="8">
        <v>39</v>
      </c>
      <c r="N50" s="8">
        <v>20</v>
      </c>
      <c r="O50" s="5">
        <v>410032108</v>
      </c>
      <c r="P50" s="12">
        <f>IFERROR(VLOOKUP(A50,'[1]Padronização 43'!$B:$Q,16,0),0)</f>
        <v>72</v>
      </c>
      <c r="Q50" s="5">
        <f t="shared" si="0"/>
        <v>0.3611111111111111</v>
      </c>
      <c r="R50" s="5">
        <f t="shared" si="1"/>
        <v>1.0833333333333333</v>
      </c>
      <c r="S50" s="5">
        <f t="shared" si="2"/>
        <v>1.125</v>
      </c>
    </row>
    <row r="51" spans="1:19" s="5" customFormat="1" ht="12" x14ac:dyDescent="0.3">
      <c r="A51" s="4">
        <v>430032208</v>
      </c>
      <c r="B51" s="4" t="s">
        <v>241</v>
      </c>
      <c r="C51" s="8">
        <v>2</v>
      </c>
      <c r="D51" s="8">
        <v>2</v>
      </c>
      <c r="E51" s="8">
        <v>2</v>
      </c>
      <c r="F51" s="8">
        <v>2</v>
      </c>
      <c r="G51" s="8">
        <v>2</v>
      </c>
      <c r="H51" s="1">
        <v>3</v>
      </c>
      <c r="I51" s="1">
        <v>3</v>
      </c>
      <c r="J51" s="1">
        <v>3</v>
      </c>
      <c r="K51" s="8">
        <v>3</v>
      </c>
      <c r="L51" s="8">
        <v>3</v>
      </c>
      <c r="M51" s="8">
        <v>4</v>
      </c>
      <c r="N51" s="8">
        <v>2</v>
      </c>
      <c r="O51" s="5">
        <v>410032208</v>
      </c>
      <c r="P51" s="12">
        <f>IFERROR(VLOOKUP(A51,'[1]Padronização 43'!$B:$Q,16,0),0)</f>
        <v>72</v>
      </c>
      <c r="Q51" s="5">
        <f t="shared" si="0"/>
        <v>4.1666666666666664E-2</v>
      </c>
      <c r="R51" s="5">
        <f t="shared" si="1"/>
        <v>0.125</v>
      </c>
      <c r="S51" s="5">
        <f t="shared" si="2"/>
        <v>0.125</v>
      </c>
    </row>
    <row r="52" spans="1:19" s="5" customFormat="1" ht="12" x14ac:dyDescent="0.3">
      <c r="A52" s="4">
        <v>430032213</v>
      </c>
      <c r="B52" s="4" t="s">
        <v>368</v>
      </c>
      <c r="C52" s="8">
        <v>2</v>
      </c>
      <c r="D52" s="8">
        <v>2</v>
      </c>
      <c r="E52" s="8">
        <v>3</v>
      </c>
      <c r="F52" s="8">
        <v>3</v>
      </c>
      <c r="G52" s="8">
        <v>3</v>
      </c>
      <c r="H52" s="1">
        <v>3</v>
      </c>
      <c r="I52" s="1">
        <v>3</v>
      </c>
      <c r="J52" s="1">
        <v>3</v>
      </c>
      <c r="K52" s="8">
        <v>3</v>
      </c>
      <c r="L52" s="8">
        <v>3</v>
      </c>
      <c r="M52" s="8">
        <v>5</v>
      </c>
      <c r="N52" s="8">
        <v>2</v>
      </c>
      <c r="O52" s="5">
        <v>410032208</v>
      </c>
      <c r="P52" s="12">
        <f>IFERROR(VLOOKUP(A52,'[1]Padronização 43'!$B:$Q,16,0),0)</f>
        <v>72</v>
      </c>
      <c r="Q52" s="5">
        <f t="shared" si="0"/>
        <v>4.1666666666666664E-2</v>
      </c>
      <c r="R52" s="5">
        <f t="shared" si="1"/>
        <v>0.125</v>
      </c>
      <c r="S52" s="5">
        <f t="shared" si="2"/>
        <v>0.125</v>
      </c>
    </row>
    <row r="53" spans="1:19" s="5" customFormat="1" ht="12" x14ac:dyDescent="0.3">
      <c r="A53" s="4">
        <v>430032408</v>
      </c>
      <c r="B53" s="4" t="s">
        <v>369</v>
      </c>
      <c r="C53" s="8">
        <v>1</v>
      </c>
      <c r="D53" s="8">
        <v>1</v>
      </c>
      <c r="E53" s="8">
        <v>1</v>
      </c>
      <c r="F53" s="8">
        <v>2</v>
      </c>
      <c r="G53" s="8">
        <v>2</v>
      </c>
      <c r="H53" s="1">
        <v>2</v>
      </c>
      <c r="I53" s="1">
        <v>2</v>
      </c>
      <c r="J53" s="1">
        <v>2</v>
      </c>
      <c r="K53" s="8">
        <v>2</v>
      </c>
      <c r="L53" s="8">
        <v>2</v>
      </c>
      <c r="M53" s="8">
        <v>3</v>
      </c>
      <c r="N53" s="8">
        <v>1</v>
      </c>
      <c r="O53" s="5">
        <v>410032408</v>
      </c>
      <c r="P53" s="12">
        <f>IFERROR(VLOOKUP(A53,'[1]Padronização 43'!$B:$Q,16,0),0)</f>
        <v>72</v>
      </c>
      <c r="Q53" s="5">
        <f t="shared" si="0"/>
        <v>2.7777777777777776E-2</v>
      </c>
      <c r="R53" s="5">
        <f t="shared" si="1"/>
        <v>8.3333333333333329E-2</v>
      </c>
      <c r="S53" s="5">
        <f t="shared" si="2"/>
        <v>8.3333333333333329E-2</v>
      </c>
    </row>
    <row r="54" spans="1:19" s="5" customFormat="1" ht="12" x14ac:dyDescent="0.3">
      <c r="A54" s="4">
        <v>430032409</v>
      </c>
      <c r="B54" s="4" t="s">
        <v>370</v>
      </c>
      <c r="C54" s="8">
        <v>1</v>
      </c>
      <c r="D54" s="8">
        <v>1</v>
      </c>
      <c r="E54" s="8">
        <v>2</v>
      </c>
      <c r="F54" s="8">
        <v>2</v>
      </c>
      <c r="G54" s="8">
        <v>2</v>
      </c>
      <c r="H54" s="1">
        <v>2</v>
      </c>
      <c r="I54" s="1">
        <v>2</v>
      </c>
      <c r="J54" s="1">
        <v>2</v>
      </c>
      <c r="K54" s="8">
        <v>2</v>
      </c>
      <c r="L54" s="8">
        <v>2</v>
      </c>
      <c r="M54" s="8">
        <v>3</v>
      </c>
      <c r="N54" s="8">
        <v>1</v>
      </c>
      <c r="O54" s="5">
        <v>410032409</v>
      </c>
      <c r="P54" s="12">
        <f>IFERROR(VLOOKUP(A54,'[1]Padronização 43'!$B:$Q,16,0),0)</f>
        <v>72</v>
      </c>
      <c r="Q54" s="5">
        <f t="shared" si="0"/>
        <v>2.7777777777777776E-2</v>
      </c>
      <c r="R54" s="5">
        <f t="shared" si="1"/>
        <v>8.3333333333333329E-2</v>
      </c>
      <c r="S54" s="5">
        <f t="shared" si="2"/>
        <v>8.3333333333333329E-2</v>
      </c>
    </row>
    <row r="55" spans="1:19" s="5" customFormat="1" ht="12" x14ac:dyDescent="0.3">
      <c r="A55" s="4">
        <v>430032506</v>
      </c>
      <c r="B55" s="4" t="s">
        <v>371</v>
      </c>
      <c r="C55" s="8">
        <v>3</v>
      </c>
      <c r="D55" s="8">
        <v>3</v>
      </c>
      <c r="E55" s="8">
        <v>4</v>
      </c>
      <c r="F55" s="8">
        <v>4</v>
      </c>
      <c r="G55" s="8">
        <v>4</v>
      </c>
      <c r="H55" s="1">
        <v>4</v>
      </c>
      <c r="I55" s="1">
        <v>4</v>
      </c>
      <c r="J55" s="1">
        <v>4</v>
      </c>
      <c r="K55" s="8">
        <v>5</v>
      </c>
      <c r="L55" s="8">
        <v>5</v>
      </c>
      <c r="M55" s="8">
        <v>7</v>
      </c>
      <c r="N55" s="8">
        <v>3</v>
      </c>
      <c r="O55" s="5">
        <v>410032509</v>
      </c>
      <c r="P55" s="12">
        <f>IFERROR(VLOOKUP(A55,'[1]Padronização 43'!$B:$Q,16,0),0)</f>
        <v>72</v>
      </c>
      <c r="Q55" s="5">
        <f t="shared" si="0"/>
        <v>5.5555555555555552E-2</v>
      </c>
      <c r="R55" s="5">
        <f t="shared" si="1"/>
        <v>0.16666666666666666</v>
      </c>
      <c r="S55" s="5">
        <f t="shared" si="2"/>
        <v>0.20833333333333334</v>
      </c>
    </row>
    <row r="56" spans="1:19" s="5" customFormat="1" ht="12" x14ac:dyDescent="0.3">
      <c r="A56" s="4">
        <v>430032509</v>
      </c>
      <c r="B56" s="4" t="s">
        <v>232</v>
      </c>
      <c r="C56" s="8">
        <v>2</v>
      </c>
      <c r="D56" s="8">
        <v>2</v>
      </c>
      <c r="E56" s="8">
        <v>2</v>
      </c>
      <c r="F56" s="8">
        <v>2</v>
      </c>
      <c r="G56" s="8">
        <v>2</v>
      </c>
      <c r="H56" s="1">
        <v>2</v>
      </c>
      <c r="I56" s="1">
        <v>2</v>
      </c>
      <c r="J56" s="1">
        <v>2</v>
      </c>
      <c r="K56" s="8">
        <v>2</v>
      </c>
      <c r="L56" s="8">
        <v>2</v>
      </c>
      <c r="M56" s="8">
        <v>4</v>
      </c>
      <c r="N56" s="8">
        <v>2</v>
      </c>
      <c r="O56" s="5">
        <v>410032509</v>
      </c>
      <c r="P56" s="12">
        <f>IFERROR(VLOOKUP(A56,'[1]Padronização 43'!$B:$Q,16,0),0)</f>
        <v>72</v>
      </c>
      <c r="Q56" s="5">
        <f t="shared" si="0"/>
        <v>2.7777777777777776E-2</v>
      </c>
      <c r="R56" s="5">
        <f t="shared" si="1"/>
        <v>8.3333333333333329E-2</v>
      </c>
      <c r="S56" s="5">
        <f t="shared" si="2"/>
        <v>8.3333333333333329E-2</v>
      </c>
    </row>
    <row r="57" spans="1:19" s="5" customFormat="1" ht="12" x14ac:dyDescent="0.3">
      <c r="A57" s="4">
        <v>430032606</v>
      </c>
      <c r="B57" s="4" t="s">
        <v>372</v>
      </c>
      <c r="C57" s="8">
        <v>2</v>
      </c>
      <c r="D57" s="8">
        <v>2</v>
      </c>
      <c r="E57" s="8">
        <v>3</v>
      </c>
      <c r="F57" s="8">
        <v>3</v>
      </c>
      <c r="G57" s="8">
        <v>3</v>
      </c>
      <c r="H57" s="1">
        <v>3</v>
      </c>
      <c r="I57" s="1">
        <v>3</v>
      </c>
      <c r="J57" s="1">
        <v>3</v>
      </c>
      <c r="K57" s="8">
        <v>3</v>
      </c>
      <c r="L57" s="8">
        <v>3</v>
      </c>
      <c r="M57" s="8">
        <v>5</v>
      </c>
      <c r="N57" s="8">
        <v>2</v>
      </c>
      <c r="O57" s="5">
        <v>410032609</v>
      </c>
      <c r="P57" s="12">
        <f>IFERROR(VLOOKUP(A57,'[1]Padronização 43'!$B:$Q,16,0),0)</f>
        <v>72</v>
      </c>
      <c r="Q57" s="5">
        <f t="shared" si="0"/>
        <v>4.1666666666666664E-2</v>
      </c>
      <c r="R57" s="5">
        <f t="shared" si="1"/>
        <v>0.125</v>
      </c>
      <c r="S57" s="5">
        <f t="shared" si="2"/>
        <v>0.125</v>
      </c>
    </row>
    <row r="58" spans="1:19" s="5" customFormat="1" ht="12" x14ac:dyDescent="0.3">
      <c r="A58" s="4">
        <v>430032609</v>
      </c>
      <c r="B58" s="4" t="s">
        <v>231</v>
      </c>
      <c r="C58" s="8">
        <v>2</v>
      </c>
      <c r="D58" s="8">
        <v>2</v>
      </c>
      <c r="E58" s="8">
        <v>2</v>
      </c>
      <c r="F58" s="8">
        <v>2</v>
      </c>
      <c r="G58" s="8">
        <v>2</v>
      </c>
      <c r="H58" s="1">
        <v>2</v>
      </c>
      <c r="I58" s="1">
        <v>2</v>
      </c>
      <c r="J58" s="1">
        <v>2</v>
      </c>
      <c r="K58" s="8">
        <v>2</v>
      </c>
      <c r="L58" s="8">
        <v>2</v>
      </c>
      <c r="M58" s="8">
        <v>4</v>
      </c>
      <c r="N58" s="8">
        <v>2</v>
      </c>
      <c r="O58" s="5">
        <v>410032609</v>
      </c>
      <c r="P58" s="12">
        <f>IFERROR(VLOOKUP(A58,'[1]Padronização 43'!$B:$Q,16,0),0)</f>
        <v>72</v>
      </c>
      <c r="Q58" s="5">
        <f t="shared" si="0"/>
        <v>2.7777777777777776E-2</v>
      </c>
      <c r="R58" s="5">
        <f t="shared" si="1"/>
        <v>8.3333333333333329E-2</v>
      </c>
      <c r="S58" s="5">
        <f t="shared" si="2"/>
        <v>8.3333333333333329E-2</v>
      </c>
    </row>
    <row r="59" spans="1:19" s="5" customFormat="1" ht="12" x14ac:dyDescent="0.3">
      <c r="A59" s="4">
        <v>430040157</v>
      </c>
      <c r="B59" s="4" t="s">
        <v>373</v>
      </c>
      <c r="C59" s="8">
        <v>269</v>
      </c>
      <c r="D59" s="8">
        <v>269</v>
      </c>
      <c r="E59" s="8">
        <v>307</v>
      </c>
      <c r="F59" s="8">
        <v>332</v>
      </c>
      <c r="G59" s="8">
        <v>332</v>
      </c>
      <c r="H59" s="1">
        <v>352</v>
      </c>
      <c r="I59" s="1">
        <v>361</v>
      </c>
      <c r="J59" s="1">
        <v>361</v>
      </c>
      <c r="K59" s="8">
        <v>373</v>
      </c>
      <c r="L59" s="8">
        <v>373</v>
      </c>
      <c r="M59" s="8">
        <v>539</v>
      </c>
      <c r="N59" s="8">
        <v>278</v>
      </c>
      <c r="O59" s="5">
        <v>410040157</v>
      </c>
      <c r="P59" s="12">
        <f>IFERROR(VLOOKUP(A59,'[1]Padronização 43'!$B:$Q,16,0),0)</f>
        <v>12</v>
      </c>
      <c r="Q59" s="5">
        <f t="shared" si="0"/>
        <v>30.083333333333332</v>
      </c>
      <c r="R59" s="5">
        <f t="shared" si="1"/>
        <v>15.041666666666666</v>
      </c>
      <c r="S59" s="5">
        <f t="shared" si="2"/>
        <v>15.541666666666666</v>
      </c>
    </row>
    <row r="60" spans="1:19" s="5" customFormat="1" ht="12" x14ac:dyDescent="0.3">
      <c r="A60" s="4">
        <v>430040257</v>
      </c>
      <c r="B60" s="4" t="s">
        <v>374</v>
      </c>
      <c r="C60" s="8">
        <v>87</v>
      </c>
      <c r="D60" s="8">
        <v>87</v>
      </c>
      <c r="E60" s="8">
        <v>99</v>
      </c>
      <c r="F60" s="8">
        <v>107</v>
      </c>
      <c r="G60" s="8">
        <v>107</v>
      </c>
      <c r="H60" s="1">
        <v>113</v>
      </c>
      <c r="I60" s="1">
        <v>116</v>
      </c>
      <c r="J60" s="1">
        <v>116</v>
      </c>
      <c r="K60" s="8">
        <v>120</v>
      </c>
      <c r="L60" s="8">
        <v>120</v>
      </c>
      <c r="M60" s="8">
        <v>173</v>
      </c>
      <c r="N60" s="8">
        <v>89</v>
      </c>
      <c r="O60" s="5">
        <v>410040257</v>
      </c>
      <c r="P60" s="12">
        <f>IFERROR(VLOOKUP(A60,'[1]Padronização 43'!$B:$Q,16,0),0)</f>
        <v>12</v>
      </c>
      <c r="Q60" s="5">
        <f t="shared" si="0"/>
        <v>9.6666666666666661</v>
      </c>
      <c r="R60" s="5">
        <f t="shared" si="1"/>
        <v>4.833333333333333</v>
      </c>
      <c r="S60" s="5">
        <f t="shared" si="2"/>
        <v>5</v>
      </c>
    </row>
    <row r="61" spans="1:19" s="5" customFormat="1" ht="12" x14ac:dyDescent="0.3">
      <c r="A61" s="4">
        <v>430040357</v>
      </c>
      <c r="B61" s="4" t="s">
        <v>375</v>
      </c>
      <c r="C61" s="8">
        <v>224</v>
      </c>
      <c r="D61" s="8">
        <v>224</v>
      </c>
      <c r="E61" s="8">
        <v>255</v>
      </c>
      <c r="F61" s="8">
        <v>275</v>
      </c>
      <c r="G61" s="8">
        <v>275</v>
      </c>
      <c r="H61" s="1">
        <v>293</v>
      </c>
      <c r="I61" s="1">
        <v>300</v>
      </c>
      <c r="J61" s="1">
        <v>300</v>
      </c>
      <c r="K61" s="8">
        <v>310</v>
      </c>
      <c r="L61" s="8">
        <v>310</v>
      </c>
      <c r="M61" s="8">
        <v>448</v>
      </c>
      <c r="N61" s="8">
        <v>231</v>
      </c>
      <c r="O61" s="5">
        <v>410040357</v>
      </c>
      <c r="P61" s="12">
        <f>IFERROR(VLOOKUP(A61,'[1]Padronização 43'!$B:$Q,16,0),0)</f>
        <v>12</v>
      </c>
      <c r="Q61" s="5">
        <f t="shared" si="0"/>
        <v>25</v>
      </c>
      <c r="R61" s="5">
        <f t="shared" si="1"/>
        <v>12.5</v>
      </c>
      <c r="S61" s="5">
        <f t="shared" si="2"/>
        <v>12.916666666666666</v>
      </c>
    </row>
    <row r="62" spans="1:19" s="5" customFormat="1" ht="12" x14ac:dyDescent="0.3">
      <c r="A62" s="4">
        <v>430040457</v>
      </c>
      <c r="B62" s="4" t="s">
        <v>376</v>
      </c>
      <c r="C62" s="8">
        <v>62</v>
      </c>
      <c r="D62" s="8">
        <v>62</v>
      </c>
      <c r="E62" s="8">
        <v>70</v>
      </c>
      <c r="F62" s="8">
        <v>76</v>
      </c>
      <c r="G62" s="8">
        <v>76</v>
      </c>
      <c r="H62" s="1">
        <v>81</v>
      </c>
      <c r="I62" s="1">
        <v>83</v>
      </c>
      <c r="J62" s="1">
        <v>83</v>
      </c>
      <c r="K62" s="8">
        <v>85</v>
      </c>
      <c r="L62" s="8">
        <v>85</v>
      </c>
      <c r="M62" s="8">
        <v>123</v>
      </c>
      <c r="N62" s="8">
        <v>64</v>
      </c>
      <c r="O62" s="5">
        <v>410040457</v>
      </c>
      <c r="P62" s="12">
        <f>IFERROR(VLOOKUP(A62,'[1]Padronização 43'!$B:$Q,16,0),0)</f>
        <v>12</v>
      </c>
      <c r="Q62" s="5">
        <f t="shared" si="0"/>
        <v>6.916666666666667</v>
      </c>
      <c r="R62" s="5">
        <f t="shared" si="1"/>
        <v>3.4583333333333335</v>
      </c>
      <c r="S62" s="5">
        <f t="shared" si="2"/>
        <v>3.5416666666666665</v>
      </c>
    </row>
    <row r="63" spans="1:19" s="5" customFormat="1" ht="12" x14ac:dyDescent="0.3">
      <c r="A63" s="4">
        <v>430040557</v>
      </c>
      <c r="B63" s="4" t="s">
        <v>377</v>
      </c>
      <c r="C63" s="8">
        <v>17</v>
      </c>
      <c r="D63" s="8">
        <v>17</v>
      </c>
      <c r="E63" s="8">
        <v>20</v>
      </c>
      <c r="F63" s="8">
        <v>21</v>
      </c>
      <c r="G63" s="8">
        <v>21</v>
      </c>
      <c r="H63" s="1">
        <v>23</v>
      </c>
      <c r="I63" s="1">
        <v>23</v>
      </c>
      <c r="J63" s="1">
        <v>23</v>
      </c>
      <c r="K63" s="8">
        <v>24</v>
      </c>
      <c r="L63" s="8">
        <v>24</v>
      </c>
      <c r="M63" s="8">
        <v>34</v>
      </c>
      <c r="N63" s="8">
        <v>18</v>
      </c>
      <c r="O63" s="5">
        <v>410040557</v>
      </c>
      <c r="P63" s="12">
        <f>IFERROR(VLOOKUP(A63,'[1]Padronização 43'!$B:$Q,16,0),0)</f>
        <v>12</v>
      </c>
      <c r="Q63" s="5">
        <f t="shared" si="0"/>
        <v>1.9166666666666667</v>
      </c>
      <c r="R63" s="5">
        <f t="shared" si="1"/>
        <v>0.95833333333333337</v>
      </c>
      <c r="S63" s="5">
        <f t="shared" si="2"/>
        <v>1</v>
      </c>
    </row>
    <row r="64" spans="1:19" s="5" customFormat="1" ht="12" x14ac:dyDescent="0.3">
      <c r="A64" s="4">
        <v>430040657</v>
      </c>
      <c r="B64" s="4" t="s">
        <v>378</v>
      </c>
      <c r="C64" s="8">
        <v>85</v>
      </c>
      <c r="D64" s="8">
        <v>85</v>
      </c>
      <c r="E64" s="8">
        <v>96</v>
      </c>
      <c r="F64" s="8">
        <v>104</v>
      </c>
      <c r="G64" s="8">
        <v>104</v>
      </c>
      <c r="H64" s="1">
        <v>111</v>
      </c>
      <c r="I64" s="1">
        <v>113</v>
      </c>
      <c r="J64" s="1">
        <v>113</v>
      </c>
      <c r="K64" s="8">
        <v>117</v>
      </c>
      <c r="L64" s="8">
        <v>117</v>
      </c>
      <c r="M64" s="8">
        <v>169</v>
      </c>
      <c r="N64" s="8">
        <v>87</v>
      </c>
      <c r="O64" s="5">
        <v>410040657</v>
      </c>
      <c r="P64" s="12">
        <f>IFERROR(VLOOKUP(A64,'[1]Padronização 43'!$B:$Q,16,0),0)</f>
        <v>12</v>
      </c>
      <c r="Q64" s="5">
        <f t="shared" si="0"/>
        <v>9.4166666666666661</v>
      </c>
      <c r="R64" s="5">
        <f t="shared" si="1"/>
        <v>4.708333333333333</v>
      </c>
      <c r="S64" s="5">
        <f t="shared" si="2"/>
        <v>4.875</v>
      </c>
    </row>
    <row r="65" spans="1:19" s="5" customFormat="1" ht="12" x14ac:dyDescent="0.3">
      <c r="A65" s="4">
        <v>430040758</v>
      </c>
      <c r="B65" s="4" t="s">
        <v>379</v>
      </c>
      <c r="C65" s="8">
        <v>81</v>
      </c>
      <c r="D65" s="8">
        <v>81</v>
      </c>
      <c r="E65" s="8">
        <v>92</v>
      </c>
      <c r="F65" s="8">
        <v>99</v>
      </c>
      <c r="G65" s="8">
        <v>99</v>
      </c>
      <c r="H65" s="1">
        <v>106</v>
      </c>
      <c r="I65" s="1">
        <v>108</v>
      </c>
      <c r="J65" s="1">
        <v>108</v>
      </c>
      <c r="K65" s="8">
        <v>112</v>
      </c>
      <c r="L65" s="8">
        <v>112</v>
      </c>
      <c r="M65" s="8">
        <v>161</v>
      </c>
      <c r="N65" s="8">
        <v>83</v>
      </c>
      <c r="O65" s="5">
        <v>0</v>
      </c>
      <c r="P65" s="12">
        <f>IFERROR(VLOOKUP(A65,'[1]Padronização 43'!$B:$Q,16,0),0)</f>
        <v>0</v>
      </c>
      <c r="Q65" s="5">
        <f t="shared" si="0"/>
        <v>0</v>
      </c>
      <c r="R65" s="5">
        <f t="shared" si="1"/>
        <v>4.5</v>
      </c>
      <c r="S65" s="5">
        <f t="shared" si="2"/>
        <v>4.666666666666667</v>
      </c>
    </row>
    <row r="66" spans="1:19" s="5" customFormat="1" ht="12" x14ac:dyDescent="0.3">
      <c r="A66" s="4">
        <v>430040857</v>
      </c>
      <c r="B66" s="4" t="s">
        <v>156</v>
      </c>
      <c r="C66" s="8">
        <v>90</v>
      </c>
      <c r="D66" s="8">
        <v>90</v>
      </c>
      <c r="E66" s="8">
        <v>103</v>
      </c>
      <c r="F66" s="8">
        <v>111</v>
      </c>
      <c r="G66" s="8">
        <v>111</v>
      </c>
      <c r="H66" s="1">
        <v>118</v>
      </c>
      <c r="I66" s="1">
        <v>121</v>
      </c>
      <c r="J66" s="1">
        <v>121</v>
      </c>
      <c r="K66" s="8">
        <v>125</v>
      </c>
      <c r="L66" s="8">
        <v>125</v>
      </c>
      <c r="M66" s="8">
        <v>181</v>
      </c>
      <c r="N66" s="8">
        <v>93</v>
      </c>
      <c r="O66" s="5">
        <v>410040857</v>
      </c>
      <c r="P66" s="12">
        <f>IFERROR(VLOOKUP(A66,'[1]Padronização 43'!$B:$Q,16,0),0)</f>
        <v>12</v>
      </c>
      <c r="Q66" s="5">
        <f t="shared" si="0"/>
        <v>10.083333333333334</v>
      </c>
      <c r="R66" s="5">
        <f t="shared" si="1"/>
        <v>5.041666666666667</v>
      </c>
      <c r="S66" s="5">
        <f t="shared" si="2"/>
        <v>5.208333333333333</v>
      </c>
    </row>
    <row r="67" spans="1:19" s="5" customFormat="1" ht="12" x14ac:dyDescent="0.3">
      <c r="A67" s="4">
        <v>430041357</v>
      </c>
      <c r="B67" s="4" t="s">
        <v>380</v>
      </c>
      <c r="C67" s="8">
        <v>125</v>
      </c>
      <c r="D67" s="8">
        <v>125</v>
      </c>
      <c r="E67" s="8">
        <v>142</v>
      </c>
      <c r="F67" s="8">
        <v>154</v>
      </c>
      <c r="G67" s="8">
        <v>154</v>
      </c>
      <c r="H67" s="1">
        <v>163</v>
      </c>
      <c r="I67" s="1">
        <v>167</v>
      </c>
      <c r="J67" s="1">
        <v>167</v>
      </c>
      <c r="K67" s="8">
        <v>173</v>
      </c>
      <c r="L67" s="8">
        <v>173</v>
      </c>
      <c r="M67" s="8">
        <v>250</v>
      </c>
      <c r="N67" s="8">
        <v>129</v>
      </c>
      <c r="O67" s="5">
        <v>410041357</v>
      </c>
      <c r="P67" s="12">
        <f>IFERROR(VLOOKUP(A67,'[1]Padronização 43'!$B:$Q,16,0),0)</f>
        <v>12</v>
      </c>
      <c r="Q67" s="5">
        <f t="shared" ref="Q67:Q130" si="3">IFERROR(I67/P67,0)</f>
        <v>13.916666666666666</v>
      </c>
      <c r="R67" s="5">
        <f t="shared" ref="R67:R130" si="4">IFERROR(J67/$P$2,0)</f>
        <v>6.958333333333333</v>
      </c>
      <c r="S67" s="5">
        <f t="shared" ref="S67:S130" si="5">IFERROR(K67/$P$2,0)</f>
        <v>7.208333333333333</v>
      </c>
    </row>
    <row r="68" spans="1:19" s="5" customFormat="1" ht="12" x14ac:dyDescent="0.3">
      <c r="A68" s="4">
        <v>430041457</v>
      </c>
      <c r="B68" s="4" t="s">
        <v>381</v>
      </c>
      <c r="C68" s="8">
        <v>91</v>
      </c>
      <c r="D68" s="8">
        <v>91</v>
      </c>
      <c r="E68" s="8">
        <v>103</v>
      </c>
      <c r="F68" s="8">
        <v>112</v>
      </c>
      <c r="G68" s="8">
        <v>112</v>
      </c>
      <c r="H68" s="1">
        <v>118</v>
      </c>
      <c r="I68" s="1">
        <v>121</v>
      </c>
      <c r="J68" s="1">
        <v>121</v>
      </c>
      <c r="K68" s="8">
        <v>125</v>
      </c>
      <c r="L68" s="8">
        <v>125</v>
      </c>
      <c r="M68" s="8">
        <v>181</v>
      </c>
      <c r="N68" s="8">
        <v>93</v>
      </c>
      <c r="O68" s="5">
        <v>410041457</v>
      </c>
      <c r="P68" s="12">
        <f>IFERROR(VLOOKUP(A68,'[1]Padronização 43'!$B:$Q,16,0),0)</f>
        <v>12</v>
      </c>
      <c r="Q68" s="5">
        <f t="shared" si="3"/>
        <v>10.083333333333334</v>
      </c>
      <c r="R68" s="5">
        <f t="shared" si="4"/>
        <v>5.041666666666667</v>
      </c>
      <c r="S68" s="5">
        <f t="shared" si="5"/>
        <v>5.208333333333333</v>
      </c>
    </row>
    <row r="69" spans="1:19" s="5" customFormat="1" ht="12" x14ac:dyDescent="0.3">
      <c r="A69" s="4">
        <v>430041557</v>
      </c>
      <c r="B69" s="4" t="s">
        <v>382</v>
      </c>
      <c r="C69" s="8">
        <v>86</v>
      </c>
      <c r="D69" s="8">
        <v>86</v>
      </c>
      <c r="E69" s="8">
        <v>98</v>
      </c>
      <c r="F69" s="8">
        <v>106</v>
      </c>
      <c r="G69" s="8">
        <v>106</v>
      </c>
      <c r="H69" s="1">
        <v>113</v>
      </c>
      <c r="I69" s="1">
        <v>116</v>
      </c>
      <c r="J69" s="1">
        <v>116</v>
      </c>
      <c r="K69" s="8">
        <v>120</v>
      </c>
      <c r="L69" s="8">
        <v>120</v>
      </c>
      <c r="M69" s="8">
        <v>173</v>
      </c>
      <c r="N69" s="8">
        <v>89</v>
      </c>
      <c r="O69" s="5">
        <v>410041557</v>
      </c>
      <c r="P69" s="12">
        <f>IFERROR(VLOOKUP(A69,'[1]Padronização 43'!$B:$Q,16,0),0)</f>
        <v>12</v>
      </c>
      <c r="Q69" s="5">
        <f t="shared" si="3"/>
        <v>9.6666666666666661</v>
      </c>
      <c r="R69" s="5">
        <f t="shared" si="4"/>
        <v>4.833333333333333</v>
      </c>
      <c r="S69" s="5">
        <f t="shared" si="5"/>
        <v>5</v>
      </c>
    </row>
    <row r="70" spans="1:19" s="5" customFormat="1" ht="12" x14ac:dyDescent="0.3">
      <c r="A70" s="4">
        <v>430042957</v>
      </c>
      <c r="B70" s="4" t="s">
        <v>383</v>
      </c>
      <c r="C70" s="8">
        <v>102</v>
      </c>
      <c r="D70" s="8">
        <v>102</v>
      </c>
      <c r="E70" s="8">
        <v>116</v>
      </c>
      <c r="F70" s="8">
        <v>126</v>
      </c>
      <c r="G70" s="8">
        <v>126</v>
      </c>
      <c r="H70" s="1">
        <v>134</v>
      </c>
      <c r="I70" s="1">
        <v>137</v>
      </c>
      <c r="J70" s="1">
        <v>137</v>
      </c>
      <c r="K70" s="8">
        <v>141</v>
      </c>
      <c r="L70" s="8">
        <v>141</v>
      </c>
      <c r="M70" s="8">
        <v>204</v>
      </c>
      <c r="N70" s="8">
        <v>105</v>
      </c>
      <c r="O70" s="5">
        <v>410042957</v>
      </c>
      <c r="P70" s="12">
        <f>IFERROR(VLOOKUP(A70,'[1]Padronização 43'!$B:$Q,16,0),0)</f>
        <v>12</v>
      </c>
      <c r="Q70" s="5">
        <f t="shared" si="3"/>
        <v>11.416666666666666</v>
      </c>
      <c r="R70" s="5">
        <f t="shared" si="4"/>
        <v>5.708333333333333</v>
      </c>
      <c r="S70" s="5">
        <f t="shared" si="5"/>
        <v>5.875</v>
      </c>
    </row>
    <row r="71" spans="1:19" s="5" customFormat="1" ht="12" x14ac:dyDescent="0.3">
      <c r="A71" s="4">
        <v>430043057</v>
      </c>
      <c r="B71" s="4" t="s">
        <v>384</v>
      </c>
      <c r="C71" s="8">
        <v>62</v>
      </c>
      <c r="D71" s="8">
        <v>62</v>
      </c>
      <c r="E71" s="8">
        <v>70</v>
      </c>
      <c r="F71" s="8">
        <v>76</v>
      </c>
      <c r="G71" s="8">
        <v>76</v>
      </c>
      <c r="H71" s="1">
        <v>81</v>
      </c>
      <c r="I71" s="1">
        <v>83</v>
      </c>
      <c r="J71" s="1">
        <v>83</v>
      </c>
      <c r="K71" s="8">
        <v>86</v>
      </c>
      <c r="L71" s="8">
        <v>86</v>
      </c>
      <c r="M71" s="8">
        <v>124</v>
      </c>
      <c r="N71" s="8">
        <v>64</v>
      </c>
      <c r="O71" s="5">
        <v>410043057</v>
      </c>
      <c r="P71" s="12">
        <f>IFERROR(VLOOKUP(A71,'[1]Padronização 43'!$B:$Q,16,0),0)</f>
        <v>12</v>
      </c>
      <c r="Q71" s="5">
        <f t="shared" si="3"/>
        <v>6.916666666666667</v>
      </c>
      <c r="R71" s="5">
        <f t="shared" si="4"/>
        <v>3.4583333333333335</v>
      </c>
      <c r="S71" s="5">
        <f t="shared" si="5"/>
        <v>3.5833333333333335</v>
      </c>
    </row>
    <row r="72" spans="1:19" s="5" customFormat="1" ht="12" x14ac:dyDescent="0.3">
      <c r="A72" s="4">
        <v>430043157</v>
      </c>
      <c r="B72" s="4" t="s">
        <v>385</v>
      </c>
      <c r="C72" s="8">
        <v>62</v>
      </c>
      <c r="D72" s="8">
        <v>62</v>
      </c>
      <c r="E72" s="8">
        <v>70</v>
      </c>
      <c r="F72" s="8">
        <v>76</v>
      </c>
      <c r="G72" s="8">
        <v>76</v>
      </c>
      <c r="H72" s="1">
        <v>81</v>
      </c>
      <c r="I72" s="1">
        <v>83</v>
      </c>
      <c r="J72" s="1">
        <v>83</v>
      </c>
      <c r="K72" s="8">
        <v>86</v>
      </c>
      <c r="L72" s="8">
        <v>86</v>
      </c>
      <c r="M72" s="8">
        <v>124</v>
      </c>
      <c r="N72" s="8">
        <v>64</v>
      </c>
      <c r="O72" s="5">
        <v>410043157</v>
      </c>
      <c r="P72" s="12">
        <f>IFERROR(VLOOKUP(A72,'[1]Padronização 43'!$B:$Q,16,0),0)</f>
        <v>12</v>
      </c>
      <c r="Q72" s="5">
        <f t="shared" si="3"/>
        <v>6.916666666666667</v>
      </c>
      <c r="R72" s="5">
        <f t="shared" si="4"/>
        <v>3.4583333333333335</v>
      </c>
      <c r="S72" s="5">
        <f t="shared" si="5"/>
        <v>3.5833333333333335</v>
      </c>
    </row>
    <row r="73" spans="1:19" s="5" customFormat="1" ht="12" x14ac:dyDescent="0.3">
      <c r="A73" s="4">
        <v>430060104</v>
      </c>
      <c r="B73" s="4" t="s">
        <v>386</v>
      </c>
      <c r="C73" s="8">
        <v>111</v>
      </c>
      <c r="D73" s="8">
        <v>111</v>
      </c>
      <c r="E73" s="8">
        <v>126</v>
      </c>
      <c r="F73" s="8">
        <v>137</v>
      </c>
      <c r="G73" s="8">
        <v>137</v>
      </c>
      <c r="H73" s="1">
        <v>145</v>
      </c>
      <c r="I73" s="1">
        <v>149</v>
      </c>
      <c r="J73" s="1">
        <v>149</v>
      </c>
      <c r="K73" s="8">
        <v>154</v>
      </c>
      <c r="L73" s="8">
        <v>154</v>
      </c>
      <c r="M73" s="8">
        <v>222</v>
      </c>
      <c r="N73" s="8">
        <v>115</v>
      </c>
      <c r="O73" s="5">
        <v>0</v>
      </c>
      <c r="P73" s="12">
        <f>IFERROR(VLOOKUP(A73,'[1]Padronização 43'!$B:$Q,16,0),0)</f>
        <v>0</v>
      </c>
      <c r="Q73" s="5">
        <f t="shared" si="3"/>
        <v>0</v>
      </c>
      <c r="R73" s="5">
        <f t="shared" si="4"/>
        <v>6.208333333333333</v>
      </c>
      <c r="S73" s="5">
        <f t="shared" si="5"/>
        <v>6.416666666666667</v>
      </c>
    </row>
    <row r="74" spans="1:19" s="5" customFormat="1" ht="12" x14ac:dyDescent="0.3">
      <c r="A74" s="4">
        <v>430060204</v>
      </c>
      <c r="B74" s="4" t="s">
        <v>387</v>
      </c>
      <c r="C74" s="8">
        <v>151</v>
      </c>
      <c r="D74" s="8">
        <v>151</v>
      </c>
      <c r="E74" s="8">
        <v>171</v>
      </c>
      <c r="F74" s="8">
        <v>185</v>
      </c>
      <c r="G74" s="8">
        <v>185</v>
      </c>
      <c r="H74" s="1">
        <v>197</v>
      </c>
      <c r="I74" s="1">
        <v>202</v>
      </c>
      <c r="J74" s="1">
        <v>202</v>
      </c>
      <c r="K74" s="8">
        <v>208</v>
      </c>
      <c r="L74" s="8">
        <v>208</v>
      </c>
      <c r="M74" s="8">
        <v>301</v>
      </c>
      <c r="N74" s="8">
        <v>155</v>
      </c>
      <c r="O74" s="5">
        <v>0</v>
      </c>
      <c r="P74" s="12">
        <f>IFERROR(VLOOKUP(A74,'[1]Padronização 43'!$B:$Q,16,0),0)</f>
        <v>0</v>
      </c>
      <c r="Q74" s="5">
        <f t="shared" si="3"/>
        <v>0</v>
      </c>
      <c r="R74" s="5">
        <f t="shared" si="4"/>
        <v>8.4166666666666661</v>
      </c>
      <c r="S74" s="5">
        <f t="shared" si="5"/>
        <v>8.6666666666666661</v>
      </c>
    </row>
    <row r="75" spans="1:19" s="5" customFormat="1" ht="12" x14ac:dyDescent="0.3">
      <c r="A75" s="4">
        <v>430060304</v>
      </c>
      <c r="B75" s="4" t="s">
        <v>388</v>
      </c>
      <c r="C75" s="8">
        <v>145</v>
      </c>
      <c r="D75" s="8">
        <v>145</v>
      </c>
      <c r="E75" s="8">
        <v>165</v>
      </c>
      <c r="F75" s="8">
        <v>178</v>
      </c>
      <c r="G75" s="8">
        <v>178</v>
      </c>
      <c r="H75" s="1">
        <v>189</v>
      </c>
      <c r="I75" s="1">
        <v>194</v>
      </c>
      <c r="J75" s="1">
        <v>194</v>
      </c>
      <c r="K75" s="8">
        <v>200</v>
      </c>
      <c r="L75" s="8">
        <v>200</v>
      </c>
      <c r="M75" s="8">
        <v>289</v>
      </c>
      <c r="N75" s="8">
        <v>149</v>
      </c>
      <c r="O75" s="5">
        <v>0</v>
      </c>
      <c r="P75" s="12">
        <f>IFERROR(VLOOKUP(A75,'[1]Padronização 43'!$B:$Q,16,0),0)</f>
        <v>0</v>
      </c>
      <c r="Q75" s="5">
        <f t="shared" si="3"/>
        <v>0</v>
      </c>
      <c r="R75" s="5">
        <f t="shared" si="4"/>
        <v>8.0833333333333339</v>
      </c>
      <c r="S75" s="5">
        <f t="shared" si="5"/>
        <v>8.3333333333333339</v>
      </c>
    </row>
    <row r="76" spans="1:19" s="5" customFormat="1" ht="12" x14ac:dyDescent="0.3">
      <c r="A76" s="4">
        <v>430060404</v>
      </c>
      <c r="B76" s="4" t="s">
        <v>389</v>
      </c>
      <c r="C76" s="8">
        <v>214</v>
      </c>
      <c r="D76" s="8">
        <v>214</v>
      </c>
      <c r="E76" s="8">
        <v>243</v>
      </c>
      <c r="F76" s="8">
        <v>263</v>
      </c>
      <c r="G76" s="8">
        <v>263</v>
      </c>
      <c r="H76" s="1">
        <v>280</v>
      </c>
      <c r="I76" s="1">
        <v>286</v>
      </c>
      <c r="J76" s="1">
        <v>286</v>
      </c>
      <c r="K76" s="8">
        <v>296</v>
      </c>
      <c r="L76" s="8">
        <v>296</v>
      </c>
      <c r="M76" s="8">
        <v>428</v>
      </c>
      <c r="N76" s="8">
        <v>220</v>
      </c>
      <c r="O76" s="5">
        <v>0</v>
      </c>
      <c r="P76" s="12">
        <f>IFERROR(VLOOKUP(A76,'[1]Padronização 43'!$B:$Q,16,0),0)</f>
        <v>0</v>
      </c>
      <c r="Q76" s="5">
        <f t="shared" si="3"/>
        <v>0</v>
      </c>
      <c r="R76" s="5">
        <f t="shared" si="4"/>
        <v>11.916666666666666</v>
      </c>
      <c r="S76" s="5">
        <f t="shared" si="5"/>
        <v>12.333333333333334</v>
      </c>
    </row>
    <row r="77" spans="1:19" s="5" customFormat="1" ht="12" x14ac:dyDescent="0.3">
      <c r="A77" s="4">
        <v>430066304</v>
      </c>
      <c r="B77" s="4" t="s">
        <v>390</v>
      </c>
      <c r="C77" s="8">
        <v>146</v>
      </c>
      <c r="D77" s="8">
        <v>146</v>
      </c>
      <c r="E77" s="8">
        <v>167</v>
      </c>
      <c r="F77" s="8">
        <v>180</v>
      </c>
      <c r="G77" s="8">
        <v>180</v>
      </c>
      <c r="H77" s="1">
        <v>191</v>
      </c>
      <c r="I77" s="1">
        <v>196</v>
      </c>
      <c r="J77" s="1">
        <v>196</v>
      </c>
      <c r="K77" s="8">
        <v>203</v>
      </c>
      <c r="L77" s="8">
        <v>203</v>
      </c>
      <c r="M77" s="8">
        <v>293</v>
      </c>
      <c r="N77" s="8">
        <v>151</v>
      </c>
      <c r="O77" s="5">
        <v>0</v>
      </c>
      <c r="P77" s="12">
        <f>IFERROR(VLOOKUP(A77,'[1]Padronização 43'!$B:$Q,16,0),0)</f>
        <v>0</v>
      </c>
      <c r="Q77" s="5">
        <f t="shared" si="3"/>
        <v>0</v>
      </c>
      <c r="R77" s="5">
        <f t="shared" si="4"/>
        <v>8.1666666666666661</v>
      </c>
      <c r="S77" s="5">
        <f t="shared" si="5"/>
        <v>8.4583333333333339</v>
      </c>
    </row>
    <row r="78" spans="1:19" s="5" customFormat="1" ht="12" x14ac:dyDescent="0.3">
      <c r="A78" s="4">
        <v>430075565</v>
      </c>
      <c r="B78" s="4" t="s">
        <v>391</v>
      </c>
      <c r="C78" s="8">
        <v>187</v>
      </c>
      <c r="D78" s="8">
        <v>187</v>
      </c>
      <c r="E78" s="8">
        <v>213</v>
      </c>
      <c r="F78" s="8">
        <v>230</v>
      </c>
      <c r="G78" s="8">
        <v>230</v>
      </c>
      <c r="H78" s="1">
        <v>244</v>
      </c>
      <c r="I78" s="1">
        <v>250</v>
      </c>
      <c r="J78" s="1">
        <v>250</v>
      </c>
      <c r="K78" s="8">
        <v>259</v>
      </c>
      <c r="L78" s="8">
        <v>259</v>
      </c>
      <c r="M78" s="8">
        <v>374</v>
      </c>
      <c r="N78" s="8">
        <v>193</v>
      </c>
      <c r="O78" s="5">
        <v>410075564</v>
      </c>
      <c r="P78" s="12">
        <f>IFERROR(VLOOKUP(A78,'[1]Padronização 43'!$B:$Q,16,0),0)</f>
        <v>12</v>
      </c>
      <c r="Q78" s="5">
        <f t="shared" si="3"/>
        <v>20.833333333333332</v>
      </c>
      <c r="R78" s="5">
        <f t="shared" si="4"/>
        <v>10.416666666666666</v>
      </c>
      <c r="S78" s="5">
        <f t="shared" si="5"/>
        <v>10.791666666666666</v>
      </c>
    </row>
    <row r="79" spans="1:19" s="5" customFormat="1" ht="12" x14ac:dyDescent="0.3">
      <c r="A79" s="4">
        <v>430080004</v>
      </c>
      <c r="B79" s="4" t="s">
        <v>392</v>
      </c>
      <c r="C79" s="8">
        <v>11</v>
      </c>
      <c r="D79" s="8">
        <v>11</v>
      </c>
      <c r="E79" s="8">
        <v>13</v>
      </c>
      <c r="F79" s="8">
        <v>14</v>
      </c>
      <c r="G79" s="8">
        <v>14</v>
      </c>
      <c r="H79" s="1">
        <v>15</v>
      </c>
      <c r="I79" s="1">
        <v>15</v>
      </c>
      <c r="J79" s="1">
        <v>15</v>
      </c>
      <c r="K79" s="8">
        <v>16</v>
      </c>
      <c r="L79" s="8">
        <v>16</v>
      </c>
      <c r="M79" s="8">
        <v>23</v>
      </c>
      <c r="N79" s="8">
        <v>12</v>
      </c>
      <c r="O79" s="5">
        <v>410080004</v>
      </c>
      <c r="P79" s="12">
        <f>IFERROR(VLOOKUP(A79,'[1]Padronização 43'!$B:$Q,16,0),0)</f>
        <v>12</v>
      </c>
      <c r="Q79" s="5">
        <f t="shared" si="3"/>
        <v>1.25</v>
      </c>
      <c r="R79" s="5">
        <f t="shared" si="4"/>
        <v>0.625</v>
      </c>
      <c r="S79" s="5">
        <f t="shared" si="5"/>
        <v>0.66666666666666663</v>
      </c>
    </row>
    <row r="80" spans="1:19" s="5" customFormat="1" ht="12" x14ac:dyDescent="0.3">
      <c r="A80" s="4">
        <v>430080024</v>
      </c>
      <c r="B80" s="4" t="s">
        <v>393</v>
      </c>
      <c r="C80" s="8">
        <v>223</v>
      </c>
      <c r="D80" s="8">
        <v>223</v>
      </c>
      <c r="E80" s="8">
        <v>254</v>
      </c>
      <c r="F80" s="8">
        <v>274</v>
      </c>
      <c r="G80" s="8">
        <v>274</v>
      </c>
      <c r="H80" s="1">
        <v>291</v>
      </c>
      <c r="I80" s="1">
        <v>298</v>
      </c>
      <c r="J80" s="1">
        <v>298</v>
      </c>
      <c r="K80" s="8">
        <v>308</v>
      </c>
      <c r="L80" s="8">
        <v>308</v>
      </c>
      <c r="M80" s="8">
        <v>446</v>
      </c>
      <c r="N80" s="8">
        <v>230</v>
      </c>
      <c r="O80" s="5">
        <v>410080024</v>
      </c>
      <c r="P80" s="12">
        <f>IFERROR(VLOOKUP(A80,'[1]Padronização 43'!$B:$Q,16,0),0)</f>
        <v>4</v>
      </c>
      <c r="Q80" s="5">
        <f t="shared" si="3"/>
        <v>74.5</v>
      </c>
      <c r="R80" s="5">
        <f t="shared" si="4"/>
        <v>12.416666666666666</v>
      </c>
      <c r="S80" s="5">
        <f t="shared" si="5"/>
        <v>12.833333333333334</v>
      </c>
    </row>
    <row r="81" spans="1:19" s="5" customFormat="1" ht="12" x14ac:dyDescent="0.3">
      <c r="A81" s="4">
        <v>430080086</v>
      </c>
      <c r="B81" s="4" t="s">
        <v>394</v>
      </c>
      <c r="C81" s="8">
        <v>18</v>
      </c>
      <c r="D81" s="8">
        <v>18</v>
      </c>
      <c r="E81" s="8">
        <v>20</v>
      </c>
      <c r="F81" s="8">
        <v>22</v>
      </c>
      <c r="G81" s="8">
        <v>22</v>
      </c>
      <c r="H81" s="1">
        <v>23</v>
      </c>
      <c r="I81" s="1">
        <v>24</v>
      </c>
      <c r="J81" s="1">
        <v>24</v>
      </c>
      <c r="K81" s="8">
        <v>25</v>
      </c>
      <c r="L81" s="8">
        <v>25</v>
      </c>
      <c r="M81" s="8">
        <v>36</v>
      </c>
      <c r="N81" s="8">
        <v>18</v>
      </c>
      <c r="O81" s="5">
        <v>410080086</v>
      </c>
      <c r="P81" s="12">
        <f>IFERROR(VLOOKUP(A81,'[1]Padronização 43'!$B:$Q,16,0),0)</f>
        <v>8</v>
      </c>
      <c r="Q81" s="5">
        <f t="shared" si="3"/>
        <v>3</v>
      </c>
      <c r="R81" s="5">
        <f t="shared" si="4"/>
        <v>1</v>
      </c>
      <c r="S81" s="5">
        <f t="shared" si="5"/>
        <v>1.0416666666666667</v>
      </c>
    </row>
    <row r="82" spans="1:19" s="5" customFormat="1" ht="12" x14ac:dyDescent="0.3">
      <c r="A82" s="4">
        <v>430080295</v>
      </c>
      <c r="B82" s="4" t="s">
        <v>395</v>
      </c>
      <c r="C82" s="8">
        <v>103</v>
      </c>
      <c r="D82" s="8">
        <v>103</v>
      </c>
      <c r="E82" s="8">
        <v>118</v>
      </c>
      <c r="F82" s="8">
        <v>127</v>
      </c>
      <c r="G82" s="8">
        <v>127</v>
      </c>
      <c r="H82" s="1">
        <v>135</v>
      </c>
      <c r="I82" s="1">
        <v>138</v>
      </c>
      <c r="J82" s="1">
        <v>138</v>
      </c>
      <c r="K82" s="8">
        <v>143</v>
      </c>
      <c r="L82" s="8">
        <v>143</v>
      </c>
      <c r="M82" s="8">
        <v>207</v>
      </c>
      <c r="N82" s="8">
        <v>107</v>
      </c>
      <c r="O82" s="5">
        <v>410080295</v>
      </c>
      <c r="P82" s="12">
        <f>IFERROR(VLOOKUP(A82,'[1]Padronização 43'!$B:$Q,16,0),0)</f>
        <v>6</v>
      </c>
      <c r="Q82" s="5">
        <f t="shared" si="3"/>
        <v>23</v>
      </c>
      <c r="R82" s="5">
        <f t="shared" si="4"/>
        <v>5.75</v>
      </c>
      <c r="S82" s="5">
        <f t="shared" si="5"/>
        <v>5.958333333333333</v>
      </c>
    </row>
    <row r="83" spans="1:19" s="5" customFormat="1" ht="12" x14ac:dyDescent="0.3">
      <c r="A83" s="4">
        <v>430080395</v>
      </c>
      <c r="B83" s="4" t="s">
        <v>396</v>
      </c>
      <c r="C83" s="8">
        <v>21</v>
      </c>
      <c r="D83" s="8">
        <v>21</v>
      </c>
      <c r="E83" s="8">
        <v>24</v>
      </c>
      <c r="F83" s="8">
        <v>26</v>
      </c>
      <c r="G83" s="8">
        <v>26</v>
      </c>
      <c r="H83" s="1">
        <v>27</v>
      </c>
      <c r="I83" s="1">
        <v>28</v>
      </c>
      <c r="J83" s="1">
        <v>28</v>
      </c>
      <c r="K83" s="8">
        <v>29</v>
      </c>
      <c r="L83" s="8">
        <v>29</v>
      </c>
      <c r="M83" s="8">
        <v>42</v>
      </c>
      <c r="N83" s="8">
        <v>21</v>
      </c>
      <c r="O83" s="5">
        <v>410080395</v>
      </c>
      <c r="P83" s="12">
        <f>IFERROR(VLOOKUP(A83,'[1]Padronização 43'!$B:$Q,16,0),0)</f>
        <v>6</v>
      </c>
      <c r="Q83" s="5">
        <f t="shared" si="3"/>
        <v>4.666666666666667</v>
      </c>
      <c r="R83" s="5">
        <f t="shared" si="4"/>
        <v>1.1666666666666667</v>
      </c>
      <c r="S83" s="5">
        <f t="shared" si="5"/>
        <v>1.2083333333333333</v>
      </c>
    </row>
    <row r="84" spans="1:19" s="5" customFormat="1" ht="12" x14ac:dyDescent="0.3">
      <c r="A84" s="4">
        <v>430085094</v>
      </c>
      <c r="B84" s="4" t="s">
        <v>397</v>
      </c>
      <c r="C84" s="8">
        <v>1</v>
      </c>
      <c r="D84" s="8">
        <v>1</v>
      </c>
      <c r="E84" s="8">
        <v>2</v>
      </c>
      <c r="F84" s="8">
        <v>2</v>
      </c>
      <c r="G84" s="8">
        <v>2</v>
      </c>
      <c r="H84" s="1">
        <v>2</v>
      </c>
      <c r="I84" s="1">
        <v>2</v>
      </c>
      <c r="J84" s="1">
        <v>2</v>
      </c>
      <c r="K84" s="8">
        <v>2</v>
      </c>
      <c r="L84" s="8">
        <v>2</v>
      </c>
      <c r="M84" s="8">
        <v>3</v>
      </c>
      <c r="N84" s="8">
        <v>1</v>
      </c>
      <c r="O84" s="5">
        <v>0</v>
      </c>
      <c r="P84" s="12">
        <f>IFERROR(VLOOKUP(A84,'[1]Padronização 43'!$B:$Q,16,0),0)</f>
        <v>0</v>
      </c>
      <c r="Q84" s="5">
        <f t="shared" si="3"/>
        <v>0</v>
      </c>
      <c r="R84" s="5">
        <f t="shared" si="4"/>
        <v>8.3333333333333329E-2</v>
      </c>
      <c r="S84" s="5">
        <f t="shared" si="5"/>
        <v>8.3333333333333329E-2</v>
      </c>
    </row>
    <row r="85" spans="1:19" s="5" customFormat="1" ht="12" x14ac:dyDescent="0.3">
      <c r="A85" s="4">
        <v>430085095</v>
      </c>
      <c r="B85" s="4" t="s">
        <v>398</v>
      </c>
      <c r="C85" s="8">
        <v>23</v>
      </c>
      <c r="D85" s="8">
        <v>23</v>
      </c>
      <c r="E85" s="8">
        <v>26</v>
      </c>
      <c r="F85" s="8">
        <v>29</v>
      </c>
      <c r="G85" s="8">
        <v>29</v>
      </c>
      <c r="H85" s="1">
        <v>30</v>
      </c>
      <c r="I85" s="1">
        <v>31</v>
      </c>
      <c r="J85" s="1">
        <v>31</v>
      </c>
      <c r="K85" s="8">
        <v>32</v>
      </c>
      <c r="L85" s="8">
        <v>32</v>
      </c>
      <c r="M85" s="8">
        <v>46</v>
      </c>
      <c r="N85" s="8">
        <v>24</v>
      </c>
      <c r="O85" s="5">
        <v>0</v>
      </c>
      <c r="P85" s="12">
        <f>IFERROR(VLOOKUP(A85,'[1]Padronização 43'!$B:$Q,16,0),0)</f>
        <v>0</v>
      </c>
      <c r="Q85" s="5">
        <f t="shared" si="3"/>
        <v>0</v>
      </c>
      <c r="R85" s="5">
        <f t="shared" si="4"/>
        <v>1.2916666666666667</v>
      </c>
      <c r="S85" s="5">
        <f t="shared" si="5"/>
        <v>1.3333333333333333</v>
      </c>
    </row>
    <row r="86" spans="1:19" s="5" customFormat="1" ht="12" x14ac:dyDescent="0.3">
      <c r="A86" s="4">
        <v>430090260</v>
      </c>
      <c r="B86" s="4" t="s">
        <v>399</v>
      </c>
      <c r="C86" s="8">
        <v>387</v>
      </c>
      <c r="D86" s="8">
        <v>387</v>
      </c>
      <c r="E86" s="8">
        <v>440</v>
      </c>
      <c r="F86" s="8">
        <v>476</v>
      </c>
      <c r="G86" s="8">
        <v>476</v>
      </c>
      <c r="H86" s="1">
        <v>506</v>
      </c>
      <c r="I86" s="1">
        <v>518</v>
      </c>
      <c r="J86" s="1">
        <v>518</v>
      </c>
      <c r="K86" s="8">
        <v>536</v>
      </c>
      <c r="L86" s="8">
        <v>536</v>
      </c>
      <c r="M86" s="8">
        <v>774</v>
      </c>
      <c r="N86" s="8">
        <v>399</v>
      </c>
      <c r="O86" s="5">
        <v>410090260</v>
      </c>
      <c r="P86" s="12">
        <f>IFERROR(VLOOKUP(A86,'[1]Padronização 43'!$B:$Q,16,0),0)</f>
        <v>12</v>
      </c>
      <c r="Q86" s="5">
        <f t="shared" si="3"/>
        <v>43.166666666666664</v>
      </c>
      <c r="R86" s="5">
        <f t="shared" si="4"/>
        <v>21.583333333333332</v>
      </c>
      <c r="S86" s="5">
        <f t="shared" si="5"/>
        <v>22.333333333333332</v>
      </c>
    </row>
    <row r="87" spans="1:19" s="5" customFormat="1" ht="12" x14ac:dyDescent="0.3">
      <c r="A87" s="4">
        <v>430100106</v>
      </c>
      <c r="B87" s="4" t="s">
        <v>400</v>
      </c>
      <c r="C87" s="8">
        <v>186</v>
      </c>
      <c r="D87" s="8">
        <v>186</v>
      </c>
      <c r="E87" s="8">
        <v>211</v>
      </c>
      <c r="F87" s="8">
        <v>229</v>
      </c>
      <c r="G87" s="8">
        <v>229</v>
      </c>
      <c r="H87" s="1">
        <v>243</v>
      </c>
      <c r="I87" s="1">
        <v>249</v>
      </c>
      <c r="J87" s="1">
        <v>249</v>
      </c>
      <c r="K87" s="8">
        <v>257</v>
      </c>
      <c r="L87" s="8">
        <v>257</v>
      </c>
      <c r="M87" s="8">
        <v>371</v>
      </c>
      <c r="N87" s="8">
        <v>191</v>
      </c>
      <c r="O87" s="5">
        <v>410100105</v>
      </c>
      <c r="P87" s="12">
        <f>IFERROR(VLOOKUP(A87,'[1]Padronização 43'!$B:$Q,16,0),0)</f>
        <v>24</v>
      </c>
      <c r="Q87" s="5">
        <f t="shared" si="3"/>
        <v>10.375</v>
      </c>
      <c r="R87" s="5">
        <f t="shared" si="4"/>
        <v>10.375</v>
      </c>
      <c r="S87" s="5">
        <f t="shared" si="5"/>
        <v>10.708333333333334</v>
      </c>
    </row>
    <row r="88" spans="1:19" s="5" customFormat="1" ht="12" x14ac:dyDescent="0.3">
      <c r="A88" s="4">
        <v>430100206</v>
      </c>
      <c r="B88" s="4" t="s">
        <v>401</v>
      </c>
      <c r="C88" s="8">
        <v>176</v>
      </c>
      <c r="D88" s="8">
        <v>176</v>
      </c>
      <c r="E88" s="8">
        <v>200</v>
      </c>
      <c r="F88" s="8">
        <v>216</v>
      </c>
      <c r="G88" s="8">
        <v>216</v>
      </c>
      <c r="H88" s="1">
        <v>230</v>
      </c>
      <c r="I88" s="1">
        <v>235</v>
      </c>
      <c r="J88" s="1">
        <v>235</v>
      </c>
      <c r="K88" s="8">
        <v>243</v>
      </c>
      <c r="L88" s="8">
        <v>243</v>
      </c>
      <c r="M88" s="8">
        <v>352</v>
      </c>
      <c r="N88" s="8">
        <v>181</v>
      </c>
      <c r="O88" s="5">
        <v>410100205</v>
      </c>
      <c r="P88" s="12">
        <f>IFERROR(VLOOKUP(A88,'[1]Padronização 43'!$B:$Q,16,0),0)</f>
        <v>24</v>
      </c>
      <c r="Q88" s="5">
        <f t="shared" si="3"/>
        <v>9.7916666666666661</v>
      </c>
      <c r="R88" s="5">
        <f t="shared" si="4"/>
        <v>9.7916666666666661</v>
      </c>
      <c r="S88" s="5">
        <f t="shared" si="5"/>
        <v>10.125</v>
      </c>
    </row>
    <row r="89" spans="1:19" s="5" customFormat="1" ht="12" x14ac:dyDescent="0.3">
      <c r="A89" s="4">
        <v>430100306</v>
      </c>
      <c r="B89" s="4" t="s">
        <v>402</v>
      </c>
      <c r="C89" s="8">
        <v>123</v>
      </c>
      <c r="D89" s="8">
        <v>123</v>
      </c>
      <c r="E89" s="8">
        <v>140</v>
      </c>
      <c r="F89" s="8">
        <v>151</v>
      </c>
      <c r="G89" s="8">
        <v>151</v>
      </c>
      <c r="H89" s="1">
        <v>161</v>
      </c>
      <c r="I89" s="1">
        <v>164</v>
      </c>
      <c r="J89" s="1">
        <v>164</v>
      </c>
      <c r="K89" s="8">
        <v>170</v>
      </c>
      <c r="L89" s="8">
        <v>170</v>
      </c>
      <c r="M89" s="8">
        <v>246</v>
      </c>
      <c r="N89" s="8">
        <v>127</v>
      </c>
      <c r="O89" s="5">
        <v>410100305</v>
      </c>
      <c r="P89" s="12">
        <f>IFERROR(VLOOKUP(A89,'[1]Padronização 43'!$B:$Q,16,0),0)</f>
        <v>24</v>
      </c>
      <c r="Q89" s="5">
        <f t="shared" si="3"/>
        <v>6.833333333333333</v>
      </c>
      <c r="R89" s="5">
        <f t="shared" si="4"/>
        <v>6.833333333333333</v>
      </c>
      <c r="S89" s="5">
        <f t="shared" si="5"/>
        <v>7.083333333333333</v>
      </c>
    </row>
    <row r="90" spans="1:19" s="5" customFormat="1" ht="12" x14ac:dyDescent="0.3">
      <c r="A90" s="4">
        <v>430120509</v>
      </c>
      <c r="B90" s="4" t="s">
        <v>306</v>
      </c>
      <c r="C90" s="8">
        <v>3</v>
      </c>
      <c r="D90" s="8">
        <v>3</v>
      </c>
      <c r="E90" s="8">
        <v>3</v>
      </c>
      <c r="F90" s="8">
        <v>3</v>
      </c>
      <c r="G90" s="8">
        <v>3</v>
      </c>
      <c r="H90" s="1">
        <v>3</v>
      </c>
      <c r="I90" s="1">
        <v>3</v>
      </c>
      <c r="J90" s="1">
        <v>3</v>
      </c>
      <c r="K90" s="8">
        <v>3</v>
      </c>
      <c r="L90" s="8">
        <v>3</v>
      </c>
      <c r="M90" s="8">
        <v>5</v>
      </c>
      <c r="N90" s="8">
        <v>3</v>
      </c>
      <c r="O90" s="5">
        <v>410120509</v>
      </c>
      <c r="P90" s="12">
        <f>IFERROR(VLOOKUP(A90,'[1]Padronização 43'!$B:$Q,16,0),0)</f>
        <v>24</v>
      </c>
      <c r="Q90" s="5">
        <f t="shared" si="3"/>
        <v>0.125</v>
      </c>
      <c r="R90" s="5">
        <f t="shared" si="4"/>
        <v>0.125</v>
      </c>
      <c r="S90" s="5">
        <f t="shared" si="5"/>
        <v>0.125</v>
      </c>
    </row>
    <row r="91" spans="1:19" s="5" customFormat="1" ht="12" x14ac:dyDescent="0.3">
      <c r="A91" s="4">
        <v>430120514</v>
      </c>
      <c r="B91" s="4" t="s">
        <v>403</v>
      </c>
      <c r="C91" s="8">
        <v>7</v>
      </c>
      <c r="D91" s="8">
        <v>7</v>
      </c>
      <c r="E91" s="8">
        <v>8</v>
      </c>
      <c r="F91" s="8">
        <v>9</v>
      </c>
      <c r="G91" s="8">
        <v>9</v>
      </c>
      <c r="H91" s="1">
        <v>9</v>
      </c>
      <c r="I91" s="1">
        <v>9</v>
      </c>
      <c r="J91" s="1">
        <v>9</v>
      </c>
      <c r="K91" s="8">
        <v>10</v>
      </c>
      <c r="L91" s="8">
        <v>10</v>
      </c>
      <c r="M91" s="8">
        <v>14</v>
      </c>
      <c r="N91" s="8">
        <v>7</v>
      </c>
      <c r="O91" s="5">
        <v>410120509</v>
      </c>
      <c r="P91" s="12">
        <f>IFERROR(VLOOKUP(A91,'[1]Padronização 43'!$B:$Q,16,0),0)</f>
        <v>24</v>
      </c>
      <c r="Q91" s="5">
        <f t="shared" si="3"/>
        <v>0.375</v>
      </c>
      <c r="R91" s="5">
        <f t="shared" si="4"/>
        <v>0.375</v>
      </c>
      <c r="S91" s="5">
        <f t="shared" si="5"/>
        <v>0.41666666666666669</v>
      </c>
    </row>
    <row r="92" spans="1:19" s="5" customFormat="1" ht="12" x14ac:dyDescent="0.3">
      <c r="A92" s="4">
        <v>430121108</v>
      </c>
      <c r="B92" s="4" t="s">
        <v>404</v>
      </c>
      <c r="C92" s="8">
        <v>134</v>
      </c>
      <c r="D92" s="8">
        <v>134</v>
      </c>
      <c r="E92" s="8">
        <v>153</v>
      </c>
      <c r="F92" s="8">
        <v>165</v>
      </c>
      <c r="G92" s="8">
        <v>165</v>
      </c>
      <c r="H92" s="1">
        <v>175</v>
      </c>
      <c r="I92" s="1">
        <v>180</v>
      </c>
      <c r="J92" s="1">
        <v>180</v>
      </c>
      <c r="K92" s="8">
        <v>186</v>
      </c>
      <c r="L92" s="8">
        <v>186</v>
      </c>
      <c r="M92" s="8">
        <v>268</v>
      </c>
      <c r="N92" s="8">
        <v>138</v>
      </c>
      <c r="O92" s="5">
        <v>410121107</v>
      </c>
      <c r="P92" s="12">
        <f>IFERROR(VLOOKUP(A92,'[1]Padronização 43'!$B:$Q,16,0),0)</f>
        <v>16</v>
      </c>
      <c r="Q92" s="5">
        <f t="shared" si="3"/>
        <v>11.25</v>
      </c>
      <c r="R92" s="5">
        <f t="shared" si="4"/>
        <v>7.5</v>
      </c>
      <c r="S92" s="5">
        <f t="shared" si="5"/>
        <v>7.75</v>
      </c>
    </row>
    <row r="93" spans="1:19" s="5" customFormat="1" ht="12" x14ac:dyDescent="0.3">
      <c r="A93" s="4">
        <v>430121208</v>
      </c>
      <c r="B93" s="4" t="s">
        <v>405</v>
      </c>
      <c r="C93" s="8">
        <v>180</v>
      </c>
      <c r="D93" s="8">
        <v>180</v>
      </c>
      <c r="E93" s="8">
        <v>205</v>
      </c>
      <c r="F93" s="8">
        <v>221</v>
      </c>
      <c r="G93" s="8">
        <v>221</v>
      </c>
      <c r="H93" s="1">
        <v>235</v>
      </c>
      <c r="I93" s="1">
        <v>241</v>
      </c>
      <c r="J93" s="1">
        <v>241</v>
      </c>
      <c r="K93" s="8">
        <v>249</v>
      </c>
      <c r="L93" s="8">
        <v>249</v>
      </c>
      <c r="M93" s="8">
        <v>359</v>
      </c>
      <c r="N93" s="8">
        <v>185</v>
      </c>
      <c r="O93" s="5">
        <v>410121207</v>
      </c>
      <c r="P93" s="12">
        <f>IFERROR(VLOOKUP(A93,'[1]Padronização 43'!$B:$Q,16,0),0)</f>
        <v>16</v>
      </c>
      <c r="Q93" s="5">
        <f t="shared" si="3"/>
        <v>15.0625</v>
      </c>
      <c r="R93" s="5">
        <f t="shared" si="4"/>
        <v>10.041666666666666</v>
      </c>
      <c r="S93" s="5">
        <f t="shared" si="5"/>
        <v>10.375</v>
      </c>
    </row>
    <row r="94" spans="1:19" s="5" customFormat="1" ht="12" x14ac:dyDescent="0.3">
      <c r="A94" s="4">
        <v>430121308</v>
      </c>
      <c r="B94" s="4" t="s">
        <v>406</v>
      </c>
      <c r="C94" s="8">
        <v>156</v>
      </c>
      <c r="D94" s="8">
        <v>156</v>
      </c>
      <c r="E94" s="8">
        <v>177</v>
      </c>
      <c r="F94" s="8">
        <v>192</v>
      </c>
      <c r="G94" s="8">
        <v>192</v>
      </c>
      <c r="H94" s="1">
        <v>204</v>
      </c>
      <c r="I94" s="1">
        <v>209</v>
      </c>
      <c r="J94" s="1">
        <v>209</v>
      </c>
      <c r="K94" s="8">
        <v>216</v>
      </c>
      <c r="L94" s="8">
        <v>216</v>
      </c>
      <c r="M94" s="8">
        <v>312</v>
      </c>
      <c r="N94" s="8">
        <v>161</v>
      </c>
      <c r="O94" s="5">
        <v>410121307</v>
      </c>
      <c r="P94" s="12">
        <f>IFERROR(VLOOKUP(A94,'[1]Padronização 43'!$B:$Q,16,0),0)</f>
        <v>16</v>
      </c>
      <c r="Q94" s="5">
        <f t="shared" si="3"/>
        <v>13.0625</v>
      </c>
      <c r="R94" s="5">
        <f t="shared" si="4"/>
        <v>8.7083333333333339</v>
      </c>
      <c r="S94" s="5">
        <f t="shared" si="5"/>
        <v>9</v>
      </c>
    </row>
    <row r="95" spans="1:19" s="5" customFormat="1" ht="12" x14ac:dyDescent="0.3">
      <c r="A95" s="4">
        <v>430121509</v>
      </c>
      <c r="B95" s="4" t="s">
        <v>304</v>
      </c>
      <c r="C95" s="8">
        <v>4</v>
      </c>
      <c r="D95" s="8">
        <v>4</v>
      </c>
      <c r="E95" s="8">
        <v>5</v>
      </c>
      <c r="F95" s="8">
        <v>5</v>
      </c>
      <c r="G95" s="8">
        <v>5</v>
      </c>
      <c r="H95" s="1">
        <v>5</v>
      </c>
      <c r="I95" s="1">
        <v>5</v>
      </c>
      <c r="J95" s="1">
        <v>5</v>
      </c>
      <c r="K95" s="8">
        <v>6</v>
      </c>
      <c r="L95" s="8">
        <v>6</v>
      </c>
      <c r="M95" s="8">
        <v>8</v>
      </c>
      <c r="N95" s="8">
        <v>4</v>
      </c>
      <c r="O95" s="5">
        <v>410121509</v>
      </c>
      <c r="P95" s="12">
        <f>IFERROR(VLOOKUP(A95,'[1]Padronização 43'!$B:$Q,16,0),0)</f>
        <v>24</v>
      </c>
      <c r="Q95" s="5">
        <f t="shared" si="3"/>
        <v>0.20833333333333334</v>
      </c>
      <c r="R95" s="5">
        <f t="shared" si="4"/>
        <v>0.20833333333333334</v>
      </c>
      <c r="S95" s="5">
        <f t="shared" si="5"/>
        <v>0.25</v>
      </c>
    </row>
    <row r="96" spans="1:19" s="5" customFormat="1" ht="12" x14ac:dyDescent="0.3">
      <c r="A96" s="4">
        <v>430121514</v>
      </c>
      <c r="B96" s="4" t="s">
        <v>407</v>
      </c>
      <c r="C96" s="8">
        <v>3</v>
      </c>
      <c r="D96" s="8">
        <v>3</v>
      </c>
      <c r="E96" s="8">
        <v>3</v>
      </c>
      <c r="F96" s="8">
        <v>3</v>
      </c>
      <c r="G96" s="8">
        <v>3</v>
      </c>
      <c r="H96" s="1">
        <v>4</v>
      </c>
      <c r="I96" s="1">
        <v>4</v>
      </c>
      <c r="J96" s="1">
        <v>4</v>
      </c>
      <c r="K96" s="8">
        <v>4</v>
      </c>
      <c r="L96" s="8">
        <v>4</v>
      </c>
      <c r="M96" s="8">
        <v>6</v>
      </c>
      <c r="N96" s="8">
        <v>3</v>
      </c>
      <c r="O96" s="5">
        <v>410121509</v>
      </c>
      <c r="P96" s="12">
        <f>IFERROR(VLOOKUP(A96,'[1]Padronização 43'!$B:$Q,16,0),0)</f>
        <v>24</v>
      </c>
      <c r="Q96" s="5">
        <f t="shared" si="3"/>
        <v>0.16666666666666666</v>
      </c>
      <c r="R96" s="5">
        <f t="shared" si="4"/>
        <v>0.16666666666666666</v>
      </c>
      <c r="S96" s="5">
        <f t="shared" si="5"/>
        <v>0.16666666666666666</v>
      </c>
    </row>
    <row r="97" spans="1:19" s="5" customFormat="1" ht="12" x14ac:dyDescent="0.3">
      <c r="A97" s="4">
        <v>430140034</v>
      </c>
      <c r="B97" s="4" t="s">
        <v>408</v>
      </c>
      <c r="C97" s="8">
        <v>62</v>
      </c>
      <c r="D97" s="8">
        <v>62</v>
      </c>
      <c r="E97" s="8">
        <v>70</v>
      </c>
      <c r="F97" s="8">
        <v>76</v>
      </c>
      <c r="G97" s="8">
        <v>76</v>
      </c>
      <c r="H97" s="1">
        <v>81</v>
      </c>
      <c r="I97" s="1">
        <v>83</v>
      </c>
      <c r="J97" s="1">
        <v>83</v>
      </c>
      <c r="K97" s="8">
        <v>86</v>
      </c>
      <c r="L97" s="8">
        <v>86</v>
      </c>
      <c r="M97" s="8">
        <v>124</v>
      </c>
      <c r="N97" s="8">
        <v>64</v>
      </c>
      <c r="O97" s="5">
        <v>410140034</v>
      </c>
      <c r="P97" s="12">
        <f>IFERROR(VLOOKUP(A97,'[1]Padronização 43'!$B:$Q,16,0),0)</f>
        <v>8</v>
      </c>
      <c r="Q97" s="5">
        <f t="shared" si="3"/>
        <v>10.375</v>
      </c>
      <c r="R97" s="5">
        <f t="shared" si="4"/>
        <v>3.4583333333333335</v>
      </c>
      <c r="S97" s="5">
        <f t="shared" si="5"/>
        <v>3.5833333333333335</v>
      </c>
    </row>
    <row r="98" spans="1:19" s="5" customFormat="1" ht="12" x14ac:dyDescent="0.3">
      <c r="A98" s="4">
        <v>430140233</v>
      </c>
      <c r="B98" s="4" t="s">
        <v>409</v>
      </c>
      <c r="C98" s="8">
        <v>107</v>
      </c>
      <c r="D98" s="8">
        <v>107</v>
      </c>
      <c r="E98" s="8">
        <v>121</v>
      </c>
      <c r="F98" s="8">
        <v>131</v>
      </c>
      <c r="G98" s="8">
        <v>131</v>
      </c>
      <c r="H98" s="1">
        <v>139</v>
      </c>
      <c r="I98" s="1">
        <v>143</v>
      </c>
      <c r="J98" s="1">
        <v>143</v>
      </c>
      <c r="K98" s="8">
        <v>148</v>
      </c>
      <c r="L98" s="8">
        <v>148</v>
      </c>
      <c r="M98" s="8">
        <v>213</v>
      </c>
      <c r="N98" s="8">
        <v>110</v>
      </c>
      <c r="O98" s="5">
        <v>0</v>
      </c>
      <c r="P98" s="12">
        <f>IFERROR(VLOOKUP(A98,'[1]Padronização 43'!$B:$Q,16,0),0)</f>
        <v>0</v>
      </c>
      <c r="Q98" s="5">
        <f t="shared" si="3"/>
        <v>0</v>
      </c>
      <c r="R98" s="5">
        <f t="shared" si="4"/>
        <v>5.958333333333333</v>
      </c>
      <c r="S98" s="5">
        <f t="shared" si="5"/>
        <v>6.166666666666667</v>
      </c>
    </row>
    <row r="99" spans="1:19" s="5" customFormat="1" ht="12" x14ac:dyDescent="0.3">
      <c r="A99" s="4">
        <v>430140234</v>
      </c>
      <c r="B99" s="4" t="s">
        <v>410</v>
      </c>
      <c r="C99" s="8">
        <v>7</v>
      </c>
      <c r="D99" s="8">
        <v>7</v>
      </c>
      <c r="E99" s="8">
        <v>8</v>
      </c>
      <c r="F99" s="8">
        <v>9</v>
      </c>
      <c r="G99" s="8">
        <v>9</v>
      </c>
      <c r="H99" s="1">
        <v>10</v>
      </c>
      <c r="I99" s="1">
        <v>10</v>
      </c>
      <c r="J99" s="1">
        <v>10</v>
      </c>
      <c r="K99" s="8">
        <v>10</v>
      </c>
      <c r="L99" s="8">
        <v>10</v>
      </c>
      <c r="M99" s="8">
        <v>15</v>
      </c>
      <c r="N99" s="8">
        <v>8</v>
      </c>
      <c r="O99" s="5">
        <v>0</v>
      </c>
      <c r="P99" s="12">
        <f>IFERROR(VLOOKUP(A99,'[1]Padronização 43'!$B:$Q,16,0),0)</f>
        <v>0</v>
      </c>
      <c r="Q99" s="5">
        <f t="shared" si="3"/>
        <v>0</v>
      </c>
      <c r="R99" s="5">
        <f t="shared" si="4"/>
        <v>0.41666666666666669</v>
      </c>
      <c r="S99" s="5">
        <f t="shared" si="5"/>
        <v>0.41666666666666669</v>
      </c>
    </row>
    <row r="100" spans="1:19" s="5" customFormat="1" ht="12" x14ac:dyDescent="0.3">
      <c r="A100" s="4">
        <v>430140425</v>
      </c>
      <c r="B100" s="4" t="s">
        <v>411</v>
      </c>
      <c r="C100" s="8">
        <v>24</v>
      </c>
      <c r="D100" s="8">
        <v>24</v>
      </c>
      <c r="E100" s="8">
        <v>27</v>
      </c>
      <c r="F100" s="8">
        <v>29</v>
      </c>
      <c r="G100" s="8">
        <v>29</v>
      </c>
      <c r="H100" s="1">
        <v>31</v>
      </c>
      <c r="I100" s="1">
        <v>32</v>
      </c>
      <c r="J100" s="1">
        <v>32</v>
      </c>
      <c r="K100" s="8">
        <v>33</v>
      </c>
      <c r="L100" s="8">
        <v>33</v>
      </c>
      <c r="M100" s="8">
        <v>48</v>
      </c>
      <c r="N100" s="8">
        <v>25</v>
      </c>
      <c r="O100" s="5">
        <v>0</v>
      </c>
      <c r="P100" s="12">
        <f>IFERROR(VLOOKUP(A100,'[1]Padronização 43'!$B:$Q,16,0),0)</f>
        <v>0</v>
      </c>
      <c r="Q100" s="5">
        <f t="shared" si="3"/>
        <v>0</v>
      </c>
      <c r="R100" s="5">
        <f t="shared" si="4"/>
        <v>1.3333333333333333</v>
      </c>
      <c r="S100" s="5">
        <f t="shared" si="5"/>
        <v>1.375</v>
      </c>
    </row>
    <row r="101" spans="1:19" s="5" customFormat="1" ht="12" x14ac:dyDescent="0.3">
      <c r="A101" s="4">
        <v>430140525</v>
      </c>
      <c r="B101" s="4" t="s">
        <v>412</v>
      </c>
      <c r="C101" s="8">
        <v>12</v>
      </c>
      <c r="D101" s="8">
        <v>12</v>
      </c>
      <c r="E101" s="8">
        <v>14</v>
      </c>
      <c r="F101" s="8">
        <v>15</v>
      </c>
      <c r="G101" s="8">
        <v>15</v>
      </c>
      <c r="H101" s="1">
        <v>16</v>
      </c>
      <c r="I101" s="1">
        <v>16</v>
      </c>
      <c r="J101" s="1">
        <v>16</v>
      </c>
      <c r="K101" s="8">
        <v>17</v>
      </c>
      <c r="L101" s="8">
        <v>17</v>
      </c>
      <c r="M101" s="8">
        <v>25</v>
      </c>
      <c r="N101" s="8">
        <v>13</v>
      </c>
      <c r="O101" s="5">
        <v>0</v>
      </c>
      <c r="P101" s="12">
        <f>IFERROR(VLOOKUP(A101,'[1]Padronização 43'!$B:$Q,16,0),0)</f>
        <v>0</v>
      </c>
      <c r="Q101" s="5">
        <f t="shared" si="3"/>
        <v>0</v>
      </c>
      <c r="R101" s="5">
        <f t="shared" si="4"/>
        <v>0.66666666666666663</v>
      </c>
      <c r="S101" s="5">
        <f t="shared" si="5"/>
        <v>0.70833333333333337</v>
      </c>
    </row>
    <row r="102" spans="1:19" s="5" customFormat="1" ht="12" x14ac:dyDescent="0.3">
      <c r="A102" s="4">
        <v>430140533</v>
      </c>
      <c r="B102" s="4" t="s">
        <v>413</v>
      </c>
      <c r="C102" s="8">
        <v>123</v>
      </c>
      <c r="D102" s="8">
        <v>123</v>
      </c>
      <c r="E102" s="8">
        <v>141</v>
      </c>
      <c r="F102" s="8">
        <v>152</v>
      </c>
      <c r="G102" s="8">
        <v>152</v>
      </c>
      <c r="H102" s="1">
        <v>161</v>
      </c>
      <c r="I102" s="1">
        <v>165</v>
      </c>
      <c r="J102" s="1">
        <v>165</v>
      </c>
      <c r="K102" s="8">
        <v>171</v>
      </c>
      <c r="L102" s="8">
        <v>171</v>
      </c>
      <c r="M102" s="8">
        <v>247</v>
      </c>
      <c r="N102" s="8">
        <v>127</v>
      </c>
      <c r="O102" s="5">
        <v>0</v>
      </c>
      <c r="P102" s="12">
        <f>IFERROR(VLOOKUP(A102,'[1]Padronização 43'!$B:$Q,16,0),0)</f>
        <v>0</v>
      </c>
      <c r="Q102" s="5">
        <f t="shared" si="3"/>
        <v>0</v>
      </c>
      <c r="R102" s="5">
        <f t="shared" si="4"/>
        <v>6.875</v>
      </c>
      <c r="S102" s="5">
        <f t="shared" si="5"/>
        <v>7.125</v>
      </c>
    </row>
    <row r="103" spans="1:19" s="5" customFormat="1" ht="12" x14ac:dyDescent="0.3">
      <c r="A103" s="4">
        <v>430140534</v>
      </c>
      <c r="B103" s="4" t="s">
        <v>414</v>
      </c>
      <c r="C103" s="8">
        <v>5</v>
      </c>
      <c r="D103" s="8">
        <v>5</v>
      </c>
      <c r="E103" s="8">
        <v>5</v>
      </c>
      <c r="F103" s="8">
        <v>6</v>
      </c>
      <c r="G103" s="8">
        <v>6</v>
      </c>
      <c r="H103" s="1">
        <v>6</v>
      </c>
      <c r="I103" s="1">
        <v>6</v>
      </c>
      <c r="J103" s="1">
        <v>6</v>
      </c>
      <c r="K103" s="8">
        <v>6</v>
      </c>
      <c r="L103" s="8">
        <v>6</v>
      </c>
      <c r="M103" s="8">
        <v>9</v>
      </c>
      <c r="N103" s="8">
        <v>5</v>
      </c>
      <c r="O103" s="5">
        <v>0</v>
      </c>
      <c r="P103" s="12">
        <f>IFERROR(VLOOKUP(A103,'[1]Padronização 43'!$B:$Q,16,0),0)</f>
        <v>0</v>
      </c>
      <c r="Q103" s="5">
        <f t="shared" si="3"/>
        <v>0</v>
      </c>
      <c r="R103" s="5">
        <f t="shared" si="4"/>
        <v>0.25</v>
      </c>
      <c r="S103" s="5">
        <f t="shared" si="5"/>
        <v>0.25</v>
      </c>
    </row>
    <row r="104" spans="1:19" s="5" customFormat="1" ht="12" x14ac:dyDescent="0.3">
      <c r="A104" s="4">
        <v>430140633</v>
      </c>
      <c r="B104" s="4" t="s">
        <v>415</v>
      </c>
      <c r="C104" s="8">
        <v>125</v>
      </c>
      <c r="D104" s="8">
        <v>125</v>
      </c>
      <c r="E104" s="8">
        <v>143</v>
      </c>
      <c r="F104" s="8">
        <v>154</v>
      </c>
      <c r="G104" s="8">
        <v>154</v>
      </c>
      <c r="H104" s="1">
        <v>164</v>
      </c>
      <c r="I104" s="1">
        <v>168</v>
      </c>
      <c r="J104" s="1">
        <v>168</v>
      </c>
      <c r="K104" s="8">
        <v>173</v>
      </c>
      <c r="L104" s="8">
        <v>173</v>
      </c>
      <c r="M104" s="8">
        <v>250</v>
      </c>
      <c r="N104" s="8">
        <v>129</v>
      </c>
      <c r="O104" s="5">
        <v>410140633</v>
      </c>
      <c r="P104" s="12">
        <f>IFERROR(VLOOKUP(A104,'[1]Padronização 43'!$B:$Q,16,0),0)</f>
        <v>60</v>
      </c>
      <c r="Q104" s="5">
        <f t="shared" si="3"/>
        <v>2.8</v>
      </c>
      <c r="R104" s="5">
        <f t="shared" si="4"/>
        <v>7</v>
      </c>
      <c r="S104" s="5">
        <f t="shared" si="5"/>
        <v>7.208333333333333</v>
      </c>
    </row>
    <row r="105" spans="1:19" s="5" customFormat="1" ht="12" x14ac:dyDescent="0.3">
      <c r="A105" s="4">
        <v>430140634</v>
      </c>
      <c r="B105" s="4" t="s">
        <v>416</v>
      </c>
      <c r="C105" s="8">
        <v>9</v>
      </c>
      <c r="D105" s="8">
        <v>9</v>
      </c>
      <c r="E105" s="8">
        <v>10</v>
      </c>
      <c r="F105" s="8">
        <v>11</v>
      </c>
      <c r="G105" s="8">
        <v>11</v>
      </c>
      <c r="H105" s="1">
        <v>12</v>
      </c>
      <c r="I105" s="1">
        <v>12</v>
      </c>
      <c r="J105" s="1">
        <v>12</v>
      </c>
      <c r="K105" s="8">
        <v>12</v>
      </c>
      <c r="L105" s="8">
        <v>12</v>
      </c>
      <c r="M105" s="8">
        <v>18</v>
      </c>
      <c r="N105" s="8">
        <v>9</v>
      </c>
      <c r="O105" s="5">
        <v>0</v>
      </c>
      <c r="P105" s="12">
        <f>IFERROR(VLOOKUP(A105,'[1]Padronização 43'!$B:$Q,16,0),0)</f>
        <v>0</v>
      </c>
      <c r="Q105" s="5">
        <f t="shared" si="3"/>
        <v>0</v>
      </c>
      <c r="R105" s="5">
        <f t="shared" si="4"/>
        <v>0.5</v>
      </c>
      <c r="S105" s="5">
        <f t="shared" si="5"/>
        <v>0.5</v>
      </c>
    </row>
    <row r="106" spans="1:19" s="5" customFormat="1" ht="12" x14ac:dyDescent="0.3">
      <c r="A106" s="4">
        <v>430250135</v>
      </c>
      <c r="B106" s="4" t="s">
        <v>417</v>
      </c>
      <c r="C106" s="8">
        <v>386</v>
      </c>
      <c r="D106" s="8">
        <v>386</v>
      </c>
      <c r="E106" s="8">
        <v>439</v>
      </c>
      <c r="F106" s="8">
        <v>475</v>
      </c>
      <c r="G106" s="8">
        <v>475</v>
      </c>
      <c r="H106" s="1">
        <v>504</v>
      </c>
      <c r="I106" s="1">
        <v>516</v>
      </c>
      <c r="J106" s="1">
        <v>516</v>
      </c>
      <c r="K106" s="8">
        <v>534</v>
      </c>
      <c r="L106" s="8">
        <v>534</v>
      </c>
      <c r="M106" s="8">
        <v>772</v>
      </c>
      <c r="N106" s="8">
        <v>398</v>
      </c>
      <c r="O106" s="5">
        <v>410250135</v>
      </c>
      <c r="P106" s="12">
        <f>IFERROR(VLOOKUP(A106,'[1]Padronização 43'!$B:$Q,16,0),0)</f>
        <v>24</v>
      </c>
      <c r="Q106" s="5">
        <f t="shared" si="3"/>
        <v>21.5</v>
      </c>
      <c r="R106" s="5">
        <f t="shared" si="4"/>
        <v>21.5</v>
      </c>
      <c r="S106" s="5">
        <f t="shared" si="5"/>
        <v>22.25</v>
      </c>
    </row>
    <row r="107" spans="1:19" s="5" customFormat="1" ht="12" x14ac:dyDescent="0.3">
      <c r="A107" s="4">
        <v>430250935</v>
      </c>
      <c r="B107" s="4" t="s">
        <v>418</v>
      </c>
      <c r="C107" s="8">
        <v>133</v>
      </c>
      <c r="D107" s="8">
        <v>133</v>
      </c>
      <c r="E107" s="8">
        <v>151</v>
      </c>
      <c r="F107" s="8">
        <v>163</v>
      </c>
      <c r="G107" s="8">
        <v>163</v>
      </c>
      <c r="H107" s="1">
        <v>173</v>
      </c>
      <c r="I107" s="1">
        <v>177</v>
      </c>
      <c r="J107" s="1">
        <v>177</v>
      </c>
      <c r="K107" s="8">
        <v>183</v>
      </c>
      <c r="L107" s="8">
        <v>183</v>
      </c>
      <c r="M107" s="8">
        <v>265</v>
      </c>
      <c r="N107" s="8">
        <v>137</v>
      </c>
      <c r="O107" s="5">
        <v>410250935</v>
      </c>
      <c r="P107" s="12">
        <f>IFERROR(VLOOKUP(A107,'[1]Padronização 43'!$B:$Q,16,0),0)</f>
        <v>24</v>
      </c>
      <c r="Q107" s="5">
        <f t="shared" si="3"/>
        <v>7.375</v>
      </c>
      <c r="R107" s="5">
        <f t="shared" si="4"/>
        <v>7.375</v>
      </c>
      <c r="S107" s="5">
        <f t="shared" si="5"/>
        <v>7.625</v>
      </c>
    </row>
    <row r="108" spans="1:19" s="5" customFormat="1" ht="12" x14ac:dyDescent="0.3">
      <c r="A108" s="4">
        <v>430251135</v>
      </c>
      <c r="B108" s="4" t="s">
        <v>419</v>
      </c>
      <c r="C108" s="8">
        <v>210</v>
      </c>
      <c r="D108" s="8">
        <v>210</v>
      </c>
      <c r="E108" s="8">
        <v>239</v>
      </c>
      <c r="F108" s="8">
        <v>258</v>
      </c>
      <c r="G108" s="8">
        <v>258</v>
      </c>
      <c r="H108" s="1">
        <v>274</v>
      </c>
      <c r="I108" s="1">
        <v>281</v>
      </c>
      <c r="J108" s="1">
        <v>281</v>
      </c>
      <c r="K108" s="8">
        <v>290</v>
      </c>
      <c r="L108" s="8">
        <v>290</v>
      </c>
      <c r="M108" s="8">
        <v>419</v>
      </c>
      <c r="N108" s="8">
        <v>216</v>
      </c>
      <c r="O108" s="5">
        <v>410251135</v>
      </c>
      <c r="P108" s="12">
        <f>IFERROR(VLOOKUP(A108,'[1]Padronização 43'!$B:$Q,16,0),0)</f>
        <v>24</v>
      </c>
      <c r="Q108" s="5">
        <f t="shared" si="3"/>
        <v>11.708333333333334</v>
      </c>
      <c r="R108" s="5">
        <f t="shared" si="4"/>
        <v>11.708333333333334</v>
      </c>
      <c r="S108" s="5">
        <f t="shared" si="5"/>
        <v>12.083333333333334</v>
      </c>
    </row>
    <row r="109" spans="1:19" s="5" customFormat="1" ht="12" x14ac:dyDescent="0.3">
      <c r="A109" s="4">
        <v>430251235</v>
      </c>
      <c r="B109" s="4" t="s">
        <v>420</v>
      </c>
      <c r="C109" s="8">
        <v>220</v>
      </c>
      <c r="D109" s="8">
        <v>220</v>
      </c>
      <c r="E109" s="8">
        <v>251</v>
      </c>
      <c r="F109" s="8">
        <v>271</v>
      </c>
      <c r="G109" s="8">
        <v>271</v>
      </c>
      <c r="H109" s="1">
        <v>288</v>
      </c>
      <c r="I109" s="1">
        <v>295</v>
      </c>
      <c r="J109" s="1">
        <v>295</v>
      </c>
      <c r="K109" s="8">
        <v>305</v>
      </c>
      <c r="L109" s="8">
        <v>305</v>
      </c>
      <c r="M109" s="8">
        <v>441</v>
      </c>
      <c r="N109" s="8">
        <v>227</v>
      </c>
      <c r="O109" s="5">
        <v>410251235</v>
      </c>
      <c r="P109" s="12">
        <f>IFERROR(VLOOKUP(A109,'[1]Padronização 43'!$B:$Q,16,0),0)</f>
        <v>24</v>
      </c>
      <c r="Q109" s="5">
        <f t="shared" si="3"/>
        <v>12.291666666666666</v>
      </c>
      <c r="R109" s="5">
        <f t="shared" si="4"/>
        <v>12.291666666666666</v>
      </c>
      <c r="S109" s="5">
        <f t="shared" si="5"/>
        <v>12.708333333333334</v>
      </c>
    </row>
    <row r="110" spans="1:19" s="5" customFormat="1" ht="12" x14ac:dyDescent="0.3">
      <c r="A110" s="4">
        <v>430251735</v>
      </c>
      <c r="B110" s="4" t="s">
        <v>421</v>
      </c>
      <c r="C110" s="8">
        <v>196</v>
      </c>
      <c r="D110" s="8">
        <v>196</v>
      </c>
      <c r="E110" s="8">
        <v>223</v>
      </c>
      <c r="F110" s="8">
        <v>241</v>
      </c>
      <c r="G110" s="8">
        <v>241</v>
      </c>
      <c r="H110" s="1">
        <v>256</v>
      </c>
      <c r="I110" s="1">
        <v>262</v>
      </c>
      <c r="J110" s="1">
        <v>262</v>
      </c>
      <c r="K110" s="8">
        <v>271</v>
      </c>
      <c r="L110" s="8">
        <v>271</v>
      </c>
      <c r="M110" s="8">
        <v>392</v>
      </c>
      <c r="N110" s="8">
        <v>202</v>
      </c>
      <c r="O110" s="5">
        <v>410251735</v>
      </c>
      <c r="P110" s="12">
        <f>IFERROR(VLOOKUP(A110,'[1]Padronização 43'!$B:$Q,16,0),0)</f>
        <v>24</v>
      </c>
      <c r="Q110" s="5">
        <f t="shared" si="3"/>
        <v>10.916666666666666</v>
      </c>
      <c r="R110" s="5">
        <f t="shared" si="4"/>
        <v>10.916666666666666</v>
      </c>
      <c r="S110" s="5">
        <f t="shared" si="5"/>
        <v>11.291666666666666</v>
      </c>
    </row>
    <row r="111" spans="1:19" s="5" customFormat="1" ht="12" x14ac:dyDescent="0.3">
      <c r="A111" s="4">
        <v>430251835</v>
      </c>
      <c r="B111" s="4" t="s">
        <v>422</v>
      </c>
      <c r="C111" s="8">
        <v>240</v>
      </c>
      <c r="D111" s="8">
        <v>240</v>
      </c>
      <c r="E111" s="8">
        <v>273</v>
      </c>
      <c r="F111" s="8">
        <v>295</v>
      </c>
      <c r="G111" s="8">
        <v>295</v>
      </c>
      <c r="H111" s="1">
        <v>313</v>
      </c>
      <c r="I111" s="1">
        <v>321</v>
      </c>
      <c r="J111" s="1">
        <v>321</v>
      </c>
      <c r="K111" s="8">
        <v>332</v>
      </c>
      <c r="L111" s="8">
        <v>332</v>
      </c>
      <c r="M111" s="8">
        <v>479</v>
      </c>
      <c r="N111" s="8">
        <v>247</v>
      </c>
      <c r="O111" s="5">
        <v>410251835</v>
      </c>
      <c r="P111" s="12">
        <f>IFERROR(VLOOKUP(A111,'[1]Padronização 43'!$B:$Q,16,0),0)</f>
        <v>24</v>
      </c>
      <c r="Q111" s="5">
        <f t="shared" si="3"/>
        <v>13.375</v>
      </c>
      <c r="R111" s="5">
        <f t="shared" si="4"/>
        <v>13.375</v>
      </c>
      <c r="S111" s="5">
        <f t="shared" si="5"/>
        <v>13.833333333333334</v>
      </c>
    </row>
    <row r="112" spans="1:19" s="5" customFormat="1" ht="12" x14ac:dyDescent="0.3">
      <c r="A112" s="4">
        <v>430252857</v>
      </c>
      <c r="B112" s="4" t="s">
        <v>123</v>
      </c>
      <c r="C112" s="8">
        <v>44</v>
      </c>
      <c r="D112" s="8">
        <v>44</v>
      </c>
      <c r="E112" s="8">
        <v>50</v>
      </c>
      <c r="F112" s="8">
        <v>54</v>
      </c>
      <c r="G112" s="8">
        <v>54</v>
      </c>
      <c r="H112" s="1">
        <v>57</v>
      </c>
      <c r="I112" s="1">
        <v>59</v>
      </c>
      <c r="J112" s="1">
        <v>59</v>
      </c>
      <c r="K112" s="8">
        <v>61</v>
      </c>
      <c r="L112" s="8">
        <v>61</v>
      </c>
      <c r="M112" s="8">
        <v>88</v>
      </c>
      <c r="N112" s="8">
        <v>45</v>
      </c>
      <c r="O112" s="5">
        <v>410252857</v>
      </c>
      <c r="P112" s="12">
        <f>IFERROR(VLOOKUP(A112,'[1]Padronização 43'!$B:$Q,16,0),0)</f>
        <v>12</v>
      </c>
      <c r="Q112" s="5">
        <f t="shared" si="3"/>
        <v>4.916666666666667</v>
      </c>
      <c r="R112" s="5">
        <f t="shared" si="4"/>
        <v>2.4583333333333335</v>
      </c>
      <c r="S112" s="5">
        <f t="shared" si="5"/>
        <v>2.5416666666666665</v>
      </c>
    </row>
    <row r="113" spans="1:19" s="5" customFormat="1" ht="12" x14ac:dyDescent="0.3">
      <c r="A113" s="4">
        <v>430252957</v>
      </c>
      <c r="B113" s="4" t="s">
        <v>134</v>
      </c>
      <c r="C113" s="8">
        <v>58</v>
      </c>
      <c r="D113" s="8">
        <v>58</v>
      </c>
      <c r="E113" s="8">
        <v>66</v>
      </c>
      <c r="F113" s="8">
        <v>71</v>
      </c>
      <c r="G113" s="8">
        <v>71</v>
      </c>
      <c r="H113" s="1">
        <v>76</v>
      </c>
      <c r="I113" s="1">
        <v>78</v>
      </c>
      <c r="J113" s="1">
        <v>78</v>
      </c>
      <c r="K113" s="8">
        <v>80</v>
      </c>
      <c r="L113" s="8">
        <v>80</v>
      </c>
      <c r="M113" s="8">
        <v>116</v>
      </c>
      <c r="N113" s="8">
        <v>60</v>
      </c>
      <c r="O113" s="5">
        <v>410252957</v>
      </c>
      <c r="P113" s="12">
        <f>IFERROR(VLOOKUP(A113,'[1]Padronização 43'!$B:$Q,16,0),0)</f>
        <v>12</v>
      </c>
      <c r="Q113" s="5">
        <f t="shared" si="3"/>
        <v>6.5</v>
      </c>
      <c r="R113" s="5">
        <f t="shared" si="4"/>
        <v>3.25</v>
      </c>
      <c r="S113" s="5">
        <f t="shared" si="5"/>
        <v>3.3333333333333335</v>
      </c>
    </row>
    <row r="114" spans="1:19" s="5" customFormat="1" ht="12" x14ac:dyDescent="0.3">
      <c r="A114" s="4">
        <v>430260057</v>
      </c>
      <c r="B114" s="4" t="s">
        <v>423</v>
      </c>
      <c r="C114" s="8">
        <v>130</v>
      </c>
      <c r="D114" s="8">
        <v>130</v>
      </c>
      <c r="E114" s="8">
        <v>0</v>
      </c>
      <c r="F114" s="8">
        <v>160</v>
      </c>
      <c r="G114" s="8">
        <v>160</v>
      </c>
      <c r="H114" s="1">
        <v>170</v>
      </c>
      <c r="I114" s="1">
        <v>174</v>
      </c>
      <c r="J114" s="1">
        <v>174</v>
      </c>
      <c r="K114" s="8">
        <v>180</v>
      </c>
      <c r="L114" s="8">
        <v>180</v>
      </c>
      <c r="M114" s="8">
        <v>260</v>
      </c>
      <c r="N114" s="8">
        <v>134</v>
      </c>
      <c r="O114" s="5">
        <v>410260057</v>
      </c>
      <c r="P114" s="12">
        <f>IFERROR(VLOOKUP(A114,'[1]Padronização 43'!$B:$Q,16,0),0)</f>
        <v>12</v>
      </c>
      <c r="Q114" s="5">
        <f t="shared" si="3"/>
        <v>14.5</v>
      </c>
      <c r="R114" s="5">
        <f t="shared" si="4"/>
        <v>7.25</v>
      </c>
      <c r="S114" s="5">
        <f t="shared" si="5"/>
        <v>7.5</v>
      </c>
    </row>
    <row r="115" spans="1:19" s="5" customFormat="1" ht="12" x14ac:dyDescent="0.3">
      <c r="A115" s="4">
        <v>430270138</v>
      </c>
      <c r="B115" s="4" t="s">
        <v>424</v>
      </c>
      <c r="C115" s="8">
        <v>150</v>
      </c>
      <c r="D115" s="8">
        <v>150</v>
      </c>
      <c r="E115" s="8">
        <v>171</v>
      </c>
      <c r="F115" s="8">
        <v>185</v>
      </c>
      <c r="G115" s="8">
        <v>185</v>
      </c>
      <c r="H115" s="1">
        <v>196</v>
      </c>
      <c r="I115" s="1">
        <v>201</v>
      </c>
      <c r="J115" s="1">
        <v>201</v>
      </c>
      <c r="K115" s="8">
        <v>208</v>
      </c>
      <c r="L115" s="8">
        <v>208</v>
      </c>
      <c r="M115" s="8">
        <v>300</v>
      </c>
      <c r="N115" s="8">
        <v>155</v>
      </c>
      <c r="O115" s="5">
        <v>410270138</v>
      </c>
      <c r="P115" s="12">
        <f>IFERROR(VLOOKUP(A115,'[1]Padronização 43'!$B:$Q,16,0),0)</f>
        <v>24</v>
      </c>
      <c r="Q115" s="5">
        <f t="shared" si="3"/>
        <v>8.375</v>
      </c>
      <c r="R115" s="5">
        <f t="shared" si="4"/>
        <v>8.375</v>
      </c>
      <c r="S115" s="5">
        <f t="shared" si="5"/>
        <v>8.6666666666666661</v>
      </c>
    </row>
    <row r="116" spans="1:19" s="5" customFormat="1" ht="12" x14ac:dyDescent="0.3">
      <c r="A116" s="4">
        <v>430270240</v>
      </c>
      <c r="B116" s="4" t="s">
        <v>425</v>
      </c>
      <c r="C116" s="8">
        <v>498</v>
      </c>
      <c r="D116" s="8">
        <v>498</v>
      </c>
      <c r="E116" s="8">
        <v>567</v>
      </c>
      <c r="F116" s="8">
        <v>613</v>
      </c>
      <c r="G116" s="8">
        <v>613</v>
      </c>
      <c r="H116" s="1">
        <v>651</v>
      </c>
      <c r="I116" s="1">
        <v>666</v>
      </c>
      <c r="J116" s="1">
        <v>666</v>
      </c>
      <c r="K116" s="8">
        <v>689</v>
      </c>
      <c r="L116" s="8">
        <v>689</v>
      </c>
      <c r="M116" s="8">
        <v>996</v>
      </c>
      <c r="N116" s="8">
        <v>513</v>
      </c>
      <c r="O116" s="5">
        <v>410270240</v>
      </c>
      <c r="P116" s="12">
        <f>IFERROR(VLOOKUP(A116,'[1]Padronização 43'!$B:$Q,16,0),0)</f>
        <v>24</v>
      </c>
      <c r="Q116" s="5">
        <f t="shared" si="3"/>
        <v>27.75</v>
      </c>
      <c r="R116" s="5">
        <f t="shared" si="4"/>
        <v>27.75</v>
      </c>
      <c r="S116" s="5">
        <f t="shared" si="5"/>
        <v>28.708333333333332</v>
      </c>
    </row>
    <row r="117" spans="1:19" s="5" customFormat="1" ht="12" x14ac:dyDescent="0.3">
      <c r="A117" s="4">
        <v>430270338</v>
      </c>
      <c r="B117" s="4" t="s">
        <v>426</v>
      </c>
      <c r="C117" s="8">
        <v>258</v>
      </c>
      <c r="D117" s="8">
        <v>258</v>
      </c>
      <c r="E117" s="8">
        <v>294</v>
      </c>
      <c r="F117" s="8">
        <v>318</v>
      </c>
      <c r="G117" s="8">
        <v>318</v>
      </c>
      <c r="H117" s="1">
        <v>338</v>
      </c>
      <c r="I117" s="1">
        <v>346</v>
      </c>
      <c r="J117" s="1">
        <v>346</v>
      </c>
      <c r="K117" s="8">
        <v>358</v>
      </c>
      <c r="L117" s="8">
        <v>358</v>
      </c>
      <c r="M117" s="8">
        <v>517</v>
      </c>
      <c r="N117" s="8">
        <v>266</v>
      </c>
      <c r="O117" s="5">
        <v>410270338</v>
      </c>
      <c r="P117" s="12">
        <f>IFERROR(VLOOKUP(A117,'[1]Padronização 43'!$B:$Q,16,0),0)</f>
        <v>24</v>
      </c>
      <c r="Q117" s="5">
        <f t="shared" si="3"/>
        <v>14.416666666666666</v>
      </c>
      <c r="R117" s="5">
        <f t="shared" si="4"/>
        <v>14.416666666666666</v>
      </c>
      <c r="S117" s="5">
        <f t="shared" si="5"/>
        <v>14.916666666666666</v>
      </c>
    </row>
    <row r="118" spans="1:19" s="5" customFormat="1" ht="12" x14ac:dyDescent="0.3">
      <c r="A118" s="4">
        <v>430272038</v>
      </c>
      <c r="B118" s="4" t="s">
        <v>427</v>
      </c>
      <c r="C118" s="8">
        <v>291</v>
      </c>
      <c r="D118" s="8">
        <v>291</v>
      </c>
      <c r="E118" s="8">
        <v>331</v>
      </c>
      <c r="F118" s="8">
        <v>358</v>
      </c>
      <c r="G118" s="8">
        <v>358</v>
      </c>
      <c r="H118" s="1">
        <v>380</v>
      </c>
      <c r="I118" s="1">
        <v>389</v>
      </c>
      <c r="J118" s="1">
        <v>389</v>
      </c>
      <c r="K118" s="8">
        <v>403</v>
      </c>
      <c r="L118" s="8">
        <v>403</v>
      </c>
      <c r="M118" s="8">
        <v>582</v>
      </c>
      <c r="N118" s="8">
        <v>300</v>
      </c>
      <c r="O118" s="5">
        <v>410272038</v>
      </c>
      <c r="P118" s="12">
        <f>IFERROR(VLOOKUP(A118,'[1]Padronização 43'!$B:$Q,16,0),0)</f>
        <v>24</v>
      </c>
      <c r="Q118" s="5">
        <f t="shared" si="3"/>
        <v>16.208333333333332</v>
      </c>
      <c r="R118" s="5">
        <f t="shared" si="4"/>
        <v>16.208333333333332</v>
      </c>
      <c r="S118" s="5">
        <f t="shared" si="5"/>
        <v>16.791666666666668</v>
      </c>
    </row>
    <row r="119" spans="1:19" s="5" customFormat="1" ht="12" x14ac:dyDescent="0.3">
      <c r="A119" s="4">
        <v>430272138</v>
      </c>
      <c r="B119" s="4" t="s">
        <v>428</v>
      </c>
      <c r="C119" s="8">
        <v>184</v>
      </c>
      <c r="D119" s="8">
        <v>184</v>
      </c>
      <c r="E119" s="8">
        <v>210</v>
      </c>
      <c r="F119" s="8">
        <v>227</v>
      </c>
      <c r="G119" s="8">
        <v>227</v>
      </c>
      <c r="H119" s="1">
        <v>241</v>
      </c>
      <c r="I119" s="1">
        <v>247</v>
      </c>
      <c r="J119" s="1">
        <v>247</v>
      </c>
      <c r="K119" s="8">
        <v>255</v>
      </c>
      <c r="L119" s="8">
        <v>255</v>
      </c>
      <c r="M119" s="8">
        <v>369</v>
      </c>
      <c r="N119" s="8">
        <v>190</v>
      </c>
      <c r="O119" s="5">
        <v>410272138</v>
      </c>
      <c r="P119" s="12">
        <f>IFERROR(VLOOKUP(A119,'[1]Padronização 43'!$B:$Q,16,0),0)</f>
        <v>24</v>
      </c>
      <c r="Q119" s="5">
        <f t="shared" si="3"/>
        <v>10.291666666666666</v>
      </c>
      <c r="R119" s="5">
        <f t="shared" si="4"/>
        <v>10.291666666666666</v>
      </c>
      <c r="S119" s="5">
        <f t="shared" si="5"/>
        <v>10.625</v>
      </c>
    </row>
    <row r="120" spans="1:19" s="5" customFormat="1" ht="12" x14ac:dyDescent="0.3">
      <c r="A120" s="4">
        <v>430312003</v>
      </c>
      <c r="B120" s="4" t="s">
        <v>429</v>
      </c>
      <c r="C120" s="8">
        <v>42</v>
      </c>
      <c r="D120" s="8">
        <v>42</v>
      </c>
      <c r="E120" s="8">
        <v>48</v>
      </c>
      <c r="F120" s="8">
        <v>52</v>
      </c>
      <c r="G120" s="8">
        <v>52</v>
      </c>
      <c r="H120" s="1">
        <v>55</v>
      </c>
      <c r="I120" s="1">
        <v>57</v>
      </c>
      <c r="J120" s="1">
        <v>57</v>
      </c>
      <c r="K120" s="8">
        <v>59</v>
      </c>
      <c r="L120" s="8">
        <v>59</v>
      </c>
      <c r="M120" s="8">
        <v>85</v>
      </c>
      <c r="N120" s="8">
        <v>44</v>
      </c>
      <c r="O120" s="5">
        <v>410312064</v>
      </c>
      <c r="P120" s="12">
        <f>IFERROR(VLOOKUP(A120,'[1]Padronização 43'!$B:$Q,16,0),0)</f>
        <v>60</v>
      </c>
      <c r="Q120" s="5">
        <f t="shared" si="3"/>
        <v>0.95</v>
      </c>
      <c r="R120" s="5">
        <f t="shared" si="4"/>
        <v>2.375</v>
      </c>
      <c r="S120" s="5">
        <f t="shared" si="5"/>
        <v>2.4583333333333335</v>
      </c>
    </row>
    <row r="121" spans="1:19" s="5" customFormat="1" ht="12" x14ac:dyDescent="0.3">
      <c r="A121" s="4">
        <v>430312064</v>
      </c>
      <c r="B121" s="4" t="s">
        <v>430</v>
      </c>
      <c r="C121" s="8">
        <v>3</v>
      </c>
      <c r="D121" s="8">
        <v>3</v>
      </c>
      <c r="E121" s="8">
        <v>4</v>
      </c>
      <c r="F121" s="8">
        <v>4</v>
      </c>
      <c r="G121" s="8">
        <v>4</v>
      </c>
      <c r="H121" s="1">
        <v>4</v>
      </c>
      <c r="I121" s="1">
        <v>4</v>
      </c>
      <c r="J121" s="1">
        <v>4</v>
      </c>
      <c r="K121" s="8">
        <v>4</v>
      </c>
      <c r="L121" s="8">
        <v>4</v>
      </c>
      <c r="M121" s="8">
        <v>6</v>
      </c>
      <c r="N121" s="8">
        <v>3</v>
      </c>
      <c r="O121" s="5">
        <v>410312064</v>
      </c>
      <c r="P121" s="12">
        <f>IFERROR(VLOOKUP(A121,'[1]Padronização 43'!$B:$Q,16,0),0)</f>
        <v>60</v>
      </c>
      <c r="Q121" s="5">
        <f t="shared" si="3"/>
        <v>6.6666666666666666E-2</v>
      </c>
      <c r="R121" s="5">
        <f t="shared" si="4"/>
        <v>0.16666666666666666</v>
      </c>
      <c r="S121" s="5">
        <f t="shared" si="5"/>
        <v>0.16666666666666666</v>
      </c>
    </row>
    <row r="122" spans="1:19" s="5" customFormat="1" ht="12" x14ac:dyDescent="0.3">
      <c r="A122" s="4">
        <v>430312103</v>
      </c>
      <c r="B122" s="4" t="s">
        <v>431</v>
      </c>
      <c r="C122" s="8">
        <v>19</v>
      </c>
      <c r="D122" s="8">
        <v>19</v>
      </c>
      <c r="E122" s="8">
        <v>21</v>
      </c>
      <c r="F122" s="8">
        <v>23</v>
      </c>
      <c r="G122" s="8">
        <v>23</v>
      </c>
      <c r="H122" s="1">
        <v>25</v>
      </c>
      <c r="I122" s="1">
        <v>25</v>
      </c>
      <c r="J122" s="1">
        <v>25</v>
      </c>
      <c r="K122" s="8">
        <v>26</v>
      </c>
      <c r="L122" s="8">
        <v>26</v>
      </c>
      <c r="M122" s="8">
        <v>38</v>
      </c>
      <c r="N122" s="8">
        <v>19</v>
      </c>
      <c r="O122" s="5">
        <v>410312164</v>
      </c>
      <c r="P122" s="12">
        <f>IFERROR(VLOOKUP(A122,'[1]Padronização 43'!$B:$Q,16,0),0)</f>
        <v>60</v>
      </c>
      <c r="Q122" s="5">
        <f t="shared" si="3"/>
        <v>0.41666666666666669</v>
      </c>
      <c r="R122" s="5">
        <f t="shared" si="4"/>
        <v>1.0416666666666667</v>
      </c>
      <c r="S122" s="5">
        <f t="shared" si="5"/>
        <v>1.0833333333333333</v>
      </c>
    </row>
    <row r="123" spans="1:19" s="5" customFormat="1" ht="12" x14ac:dyDescent="0.3">
      <c r="A123" s="4">
        <v>430312164</v>
      </c>
      <c r="B123" s="4" t="s">
        <v>432</v>
      </c>
      <c r="C123" s="8">
        <v>0</v>
      </c>
      <c r="D123" s="8">
        <v>0</v>
      </c>
      <c r="E123" s="8">
        <v>1</v>
      </c>
      <c r="F123" s="8">
        <v>1</v>
      </c>
      <c r="G123" s="8">
        <v>1</v>
      </c>
      <c r="H123" s="1">
        <v>1</v>
      </c>
      <c r="I123" s="1">
        <v>1</v>
      </c>
      <c r="J123" s="1">
        <v>1</v>
      </c>
      <c r="K123" s="8">
        <v>1</v>
      </c>
      <c r="L123" s="8">
        <v>1</v>
      </c>
      <c r="M123" s="8">
        <v>1</v>
      </c>
      <c r="N123" s="8">
        <v>0</v>
      </c>
      <c r="O123" s="5">
        <v>410312164</v>
      </c>
      <c r="P123" s="12">
        <f>IFERROR(VLOOKUP(A123,'[1]Padronização 43'!$B:$Q,16,0),0)</f>
        <v>60</v>
      </c>
      <c r="Q123" s="5">
        <f t="shared" si="3"/>
        <v>1.6666666666666666E-2</v>
      </c>
      <c r="R123" s="5">
        <f t="shared" si="4"/>
        <v>4.1666666666666664E-2</v>
      </c>
      <c r="S123" s="5">
        <f t="shared" si="5"/>
        <v>4.1666666666666664E-2</v>
      </c>
    </row>
    <row r="124" spans="1:19" s="5" customFormat="1" ht="12" x14ac:dyDescent="0.3">
      <c r="A124" s="4">
        <v>430313403</v>
      </c>
      <c r="B124" s="4" t="s">
        <v>433</v>
      </c>
      <c r="C124" s="8">
        <v>54</v>
      </c>
      <c r="D124" s="8">
        <v>54</v>
      </c>
      <c r="E124" s="8">
        <v>61</v>
      </c>
      <c r="F124" s="8">
        <v>66</v>
      </c>
      <c r="G124" s="8">
        <v>66</v>
      </c>
      <c r="H124" s="1">
        <v>71</v>
      </c>
      <c r="I124" s="1">
        <v>72</v>
      </c>
      <c r="J124" s="1">
        <v>72</v>
      </c>
      <c r="K124" s="8">
        <v>75</v>
      </c>
      <c r="L124" s="8">
        <v>75</v>
      </c>
      <c r="M124" s="8">
        <v>108</v>
      </c>
      <c r="N124" s="8">
        <v>56</v>
      </c>
      <c r="O124" s="5">
        <v>410313464</v>
      </c>
      <c r="P124" s="12">
        <f>IFERROR(VLOOKUP(A124,'[1]Padronização 43'!$B:$Q,16,0),0)</f>
        <v>60</v>
      </c>
      <c r="Q124" s="5">
        <f t="shared" si="3"/>
        <v>1.2</v>
      </c>
      <c r="R124" s="5">
        <f t="shared" si="4"/>
        <v>3</v>
      </c>
      <c r="S124" s="5">
        <f t="shared" si="5"/>
        <v>3.125</v>
      </c>
    </row>
    <row r="125" spans="1:19" s="5" customFormat="1" ht="12" x14ac:dyDescent="0.3">
      <c r="A125" s="4">
        <v>430313462</v>
      </c>
      <c r="B125" s="4" t="s">
        <v>434</v>
      </c>
      <c r="C125" s="8">
        <v>57</v>
      </c>
      <c r="D125" s="8">
        <v>57</v>
      </c>
      <c r="E125" s="8">
        <v>65</v>
      </c>
      <c r="F125" s="8">
        <v>70</v>
      </c>
      <c r="G125" s="8">
        <v>70</v>
      </c>
      <c r="H125" s="1">
        <v>75</v>
      </c>
      <c r="I125" s="1">
        <v>77</v>
      </c>
      <c r="J125" s="1">
        <v>77</v>
      </c>
      <c r="K125" s="8">
        <v>79</v>
      </c>
      <c r="L125" s="8">
        <v>79</v>
      </c>
      <c r="M125" s="8">
        <v>114</v>
      </c>
      <c r="N125" s="8">
        <v>59</v>
      </c>
      <c r="O125" s="5">
        <v>410313462</v>
      </c>
      <c r="P125" s="12">
        <f>IFERROR(VLOOKUP(A125,'[1]Padronização 43'!$B:$Q,16,0),0)</f>
        <v>40</v>
      </c>
      <c r="Q125" s="5">
        <f t="shared" si="3"/>
        <v>1.925</v>
      </c>
      <c r="R125" s="5">
        <f t="shared" si="4"/>
        <v>3.2083333333333335</v>
      </c>
      <c r="S125" s="5">
        <f t="shared" si="5"/>
        <v>3.2916666666666665</v>
      </c>
    </row>
    <row r="126" spans="1:19" s="5" customFormat="1" ht="12" x14ac:dyDescent="0.3">
      <c r="A126" s="4">
        <v>430313464</v>
      </c>
      <c r="B126" s="4" t="s">
        <v>435</v>
      </c>
      <c r="C126" s="8">
        <v>17</v>
      </c>
      <c r="D126" s="8">
        <v>17</v>
      </c>
      <c r="E126" s="8">
        <v>19</v>
      </c>
      <c r="F126" s="8">
        <v>20</v>
      </c>
      <c r="G126" s="8">
        <v>20</v>
      </c>
      <c r="H126" s="1">
        <v>22</v>
      </c>
      <c r="I126" s="1">
        <v>22</v>
      </c>
      <c r="J126" s="1">
        <v>22</v>
      </c>
      <c r="K126" s="8">
        <v>23</v>
      </c>
      <c r="L126" s="8">
        <v>23</v>
      </c>
      <c r="M126" s="8">
        <v>33</v>
      </c>
      <c r="N126" s="8">
        <v>17</v>
      </c>
      <c r="O126" s="5">
        <v>410313464</v>
      </c>
      <c r="P126" s="12">
        <f>IFERROR(VLOOKUP(A126,'[1]Padronização 43'!$B:$Q,16,0),0)</f>
        <v>60</v>
      </c>
      <c r="Q126" s="5">
        <f t="shared" si="3"/>
        <v>0.36666666666666664</v>
      </c>
      <c r="R126" s="5">
        <f t="shared" si="4"/>
        <v>0.91666666666666663</v>
      </c>
      <c r="S126" s="5">
        <f t="shared" si="5"/>
        <v>0.95833333333333337</v>
      </c>
    </row>
    <row r="127" spans="1:19" s="5" customFormat="1" ht="12" x14ac:dyDescent="0.3">
      <c r="A127" s="4">
        <v>430313481</v>
      </c>
      <c r="B127" s="4" t="s">
        <v>436</v>
      </c>
      <c r="C127" s="8">
        <v>79</v>
      </c>
      <c r="D127" s="8">
        <v>79</v>
      </c>
      <c r="E127" s="8">
        <v>90</v>
      </c>
      <c r="F127" s="8">
        <v>98</v>
      </c>
      <c r="G127" s="8">
        <v>98</v>
      </c>
      <c r="H127" s="1">
        <v>104</v>
      </c>
      <c r="I127" s="1">
        <v>106</v>
      </c>
      <c r="J127" s="1">
        <v>106</v>
      </c>
      <c r="K127" s="8">
        <v>110</v>
      </c>
      <c r="L127" s="8">
        <v>110</v>
      </c>
      <c r="M127" s="8">
        <v>159</v>
      </c>
      <c r="N127" s="8">
        <v>82</v>
      </c>
      <c r="O127" s="5">
        <v>410313481</v>
      </c>
      <c r="P127" s="12">
        <f>IFERROR(VLOOKUP(A127,'[1]Padronização 43'!$B:$Q,16,0),0)</f>
        <v>8</v>
      </c>
      <c r="Q127" s="5">
        <f t="shared" si="3"/>
        <v>13.25</v>
      </c>
      <c r="R127" s="5">
        <f t="shared" si="4"/>
        <v>4.416666666666667</v>
      </c>
      <c r="S127" s="5">
        <f t="shared" si="5"/>
        <v>4.583333333333333</v>
      </c>
    </row>
    <row r="128" spans="1:19" s="5" customFormat="1" ht="12" x14ac:dyDescent="0.3">
      <c r="A128" s="4">
        <v>430313499</v>
      </c>
      <c r="B128" s="4" t="s">
        <v>437</v>
      </c>
      <c r="C128" s="8">
        <v>48</v>
      </c>
      <c r="D128" s="8">
        <v>48</v>
      </c>
      <c r="E128" s="8">
        <v>54</v>
      </c>
      <c r="F128" s="8">
        <v>59</v>
      </c>
      <c r="G128" s="8">
        <v>59</v>
      </c>
      <c r="H128" s="1">
        <v>62</v>
      </c>
      <c r="I128" s="1">
        <v>64</v>
      </c>
      <c r="J128" s="1">
        <v>64</v>
      </c>
      <c r="K128" s="8">
        <v>66</v>
      </c>
      <c r="L128" s="8">
        <v>66</v>
      </c>
      <c r="M128" s="8">
        <v>95</v>
      </c>
      <c r="N128" s="8">
        <v>49</v>
      </c>
      <c r="O128" s="5">
        <v>410313499</v>
      </c>
      <c r="P128" s="12">
        <f>IFERROR(VLOOKUP(A128,'[1]Padronização 43'!$B:$Q,16,0),0)</f>
        <v>120</v>
      </c>
      <c r="Q128" s="5">
        <f t="shared" si="3"/>
        <v>0.53333333333333333</v>
      </c>
      <c r="R128" s="5">
        <f t="shared" si="4"/>
        <v>2.6666666666666665</v>
      </c>
      <c r="S128" s="5">
        <f t="shared" si="5"/>
        <v>2.75</v>
      </c>
    </row>
    <row r="129" spans="1:19" s="5" customFormat="1" ht="12" x14ac:dyDescent="0.3">
      <c r="A129" s="4">
        <v>430313503</v>
      </c>
      <c r="B129" s="4" t="s">
        <v>438</v>
      </c>
      <c r="C129" s="8">
        <v>40</v>
      </c>
      <c r="D129" s="8">
        <v>40</v>
      </c>
      <c r="E129" s="8">
        <v>46</v>
      </c>
      <c r="F129" s="8">
        <v>50</v>
      </c>
      <c r="G129" s="8">
        <v>50</v>
      </c>
      <c r="H129" s="1">
        <v>53</v>
      </c>
      <c r="I129" s="1">
        <v>54</v>
      </c>
      <c r="J129" s="1">
        <v>54</v>
      </c>
      <c r="K129" s="8">
        <v>56</v>
      </c>
      <c r="L129" s="8">
        <v>56</v>
      </c>
      <c r="M129" s="8">
        <v>81</v>
      </c>
      <c r="N129" s="8">
        <v>42</v>
      </c>
      <c r="O129" s="5">
        <v>410313564</v>
      </c>
      <c r="P129" s="12">
        <f>IFERROR(VLOOKUP(A129,'[1]Padronização 43'!$B:$Q,16,0),0)</f>
        <v>60</v>
      </c>
      <c r="Q129" s="5">
        <f t="shared" si="3"/>
        <v>0.9</v>
      </c>
      <c r="R129" s="5">
        <f t="shared" si="4"/>
        <v>2.25</v>
      </c>
      <c r="S129" s="5">
        <f t="shared" si="5"/>
        <v>2.3333333333333335</v>
      </c>
    </row>
    <row r="130" spans="1:19" s="5" customFormat="1" ht="12" x14ac:dyDescent="0.3">
      <c r="A130" s="4">
        <v>430313562</v>
      </c>
      <c r="B130" s="4" t="s">
        <v>439</v>
      </c>
      <c r="C130" s="8">
        <v>40</v>
      </c>
      <c r="D130" s="8">
        <v>40</v>
      </c>
      <c r="E130" s="8">
        <v>45</v>
      </c>
      <c r="F130" s="8">
        <v>49</v>
      </c>
      <c r="G130" s="8">
        <v>49</v>
      </c>
      <c r="H130" s="1">
        <v>52</v>
      </c>
      <c r="I130" s="1">
        <v>53</v>
      </c>
      <c r="J130" s="1">
        <v>53</v>
      </c>
      <c r="K130" s="8">
        <v>55</v>
      </c>
      <c r="L130" s="8">
        <v>55</v>
      </c>
      <c r="M130" s="8">
        <v>79</v>
      </c>
      <c r="N130" s="8">
        <v>41</v>
      </c>
      <c r="O130" s="5">
        <v>410313562</v>
      </c>
      <c r="P130" s="12">
        <f>IFERROR(VLOOKUP(A130,'[1]Padronização 43'!$B:$Q,16,0),0)</f>
        <v>40</v>
      </c>
      <c r="Q130" s="5">
        <f t="shared" si="3"/>
        <v>1.325</v>
      </c>
      <c r="R130" s="5">
        <f t="shared" si="4"/>
        <v>2.2083333333333335</v>
      </c>
      <c r="S130" s="5">
        <f t="shared" si="5"/>
        <v>2.2916666666666665</v>
      </c>
    </row>
    <row r="131" spans="1:19" s="5" customFormat="1" ht="12" x14ac:dyDescent="0.3">
      <c r="A131" s="4">
        <v>430313564</v>
      </c>
      <c r="B131" s="4" t="s">
        <v>440</v>
      </c>
      <c r="C131" s="8">
        <v>3</v>
      </c>
      <c r="D131" s="8">
        <v>3</v>
      </c>
      <c r="E131" s="8">
        <v>3</v>
      </c>
      <c r="F131" s="8">
        <v>3</v>
      </c>
      <c r="G131" s="8">
        <v>3</v>
      </c>
      <c r="H131" s="1">
        <v>3</v>
      </c>
      <c r="I131" s="1">
        <v>4</v>
      </c>
      <c r="J131" s="1">
        <v>4</v>
      </c>
      <c r="K131" s="8">
        <v>4</v>
      </c>
      <c r="L131" s="8">
        <v>4</v>
      </c>
      <c r="M131" s="8">
        <v>5</v>
      </c>
      <c r="N131" s="8">
        <v>3</v>
      </c>
      <c r="O131" s="5">
        <v>410313564</v>
      </c>
      <c r="P131" s="12">
        <f>IFERROR(VLOOKUP(A131,'[1]Padronização 43'!$B:$Q,16,0),0)</f>
        <v>60</v>
      </c>
      <c r="Q131" s="5">
        <f t="shared" ref="Q131:Q158" si="6">IFERROR(I131/P131,0)</f>
        <v>6.6666666666666666E-2</v>
      </c>
      <c r="R131" s="5">
        <f t="shared" ref="R131:R158" si="7">IFERROR(J131/$P$2,0)</f>
        <v>0.16666666666666666</v>
      </c>
      <c r="S131" s="5">
        <f t="shared" ref="S131:S158" si="8">IFERROR(K131/$P$2,0)</f>
        <v>0.16666666666666666</v>
      </c>
    </row>
    <row r="132" spans="1:19" s="5" customFormat="1" ht="12" x14ac:dyDescent="0.3">
      <c r="A132" s="4">
        <v>430313581</v>
      </c>
      <c r="B132" s="4" t="s">
        <v>441</v>
      </c>
      <c r="C132" s="8">
        <v>183</v>
      </c>
      <c r="D132" s="8">
        <v>183</v>
      </c>
      <c r="E132" s="8">
        <v>208</v>
      </c>
      <c r="F132" s="8">
        <v>225</v>
      </c>
      <c r="G132" s="8">
        <v>225</v>
      </c>
      <c r="H132" s="1">
        <v>239</v>
      </c>
      <c r="I132" s="1">
        <v>244</v>
      </c>
      <c r="J132" s="1">
        <v>244</v>
      </c>
      <c r="K132" s="8">
        <v>253</v>
      </c>
      <c r="L132" s="8">
        <v>253</v>
      </c>
      <c r="M132" s="8">
        <v>365</v>
      </c>
      <c r="N132" s="8">
        <v>188</v>
      </c>
      <c r="O132" s="5">
        <v>410313581</v>
      </c>
      <c r="P132" s="12">
        <f>IFERROR(VLOOKUP(A132,'[1]Padronização 43'!$B:$Q,16,0),0)</f>
        <v>8</v>
      </c>
      <c r="Q132" s="5">
        <f t="shared" si="6"/>
        <v>30.5</v>
      </c>
      <c r="R132" s="5">
        <f t="shared" si="7"/>
        <v>10.166666666666666</v>
      </c>
      <c r="S132" s="5">
        <f t="shared" si="8"/>
        <v>10.541666666666666</v>
      </c>
    </row>
    <row r="133" spans="1:19" s="5" customFormat="1" ht="12" x14ac:dyDescent="0.3">
      <c r="A133" s="4">
        <v>430313599</v>
      </c>
      <c r="B133" s="4" t="s">
        <v>442</v>
      </c>
      <c r="C133" s="8">
        <v>42</v>
      </c>
      <c r="D133" s="8">
        <v>42</v>
      </c>
      <c r="E133" s="8">
        <v>48</v>
      </c>
      <c r="F133" s="8">
        <v>52</v>
      </c>
      <c r="G133" s="8">
        <v>52</v>
      </c>
      <c r="H133" s="1">
        <v>55</v>
      </c>
      <c r="I133" s="1">
        <v>57</v>
      </c>
      <c r="J133" s="1">
        <v>57</v>
      </c>
      <c r="K133" s="8">
        <v>59</v>
      </c>
      <c r="L133" s="8">
        <v>59</v>
      </c>
      <c r="M133" s="8">
        <v>85</v>
      </c>
      <c r="N133" s="8">
        <v>44</v>
      </c>
      <c r="O133" s="5">
        <v>410313599</v>
      </c>
      <c r="P133" s="12">
        <f>IFERROR(VLOOKUP(A133,'[1]Padronização 43'!$B:$Q,16,0),0)</f>
        <v>120</v>
      </c>
      <c r="Q133" s="5">
        <f t="shared" si="6"/>
        <v>0.47499999999999998</v>
      </c>
      <c r="R133" s="5">
        <f t="shared" si="7"/>
        <v>2.375</v>
      </c>
      <c r="S133" s="5">
        <f t="shared" si="8"/>
        <v>2.4583333333333335</v>
      </c>
    </row>
    <row r="134" spans="1:19" s="5" customFormat="1" ht="12" x14ac:dyDescent="0.3">
      <c r="A134" s="4">
        <v>430313603</v>
      </c>
      <c r="B134" s="4" t="s">
        <v>443</v>
      </c>
      <c r="C134" s="8">
        <v>30</v>
      </c>
      <c r="D134" s="8">
        <v>30</v>
      </c>
      <c r="E134" s="8">
        <v>34</v>
      </c>
      <c r="F134" s="8">
        <v>37</v>
      </c>
      <c r="G134" s="8">
        <v>37</v>
      </c>
      <c r="H134" s="1">
        <v>39</v>
      </c>
      <c r="I134" s="1">
        <v>40</v>
      </c>
      <c r="J134" s="1">
        <v>40</v>
      </c>
      <c r="K134" s="8">
        <v>41</v>
      </c>
      <c r="L134" s="8">
        <v>41</v>
      </c>
      <c r="M134" s="8">
        <v>60</v>
      </c>
      <c r="N134" s="8">
        <v>31</v>
      </c>
      <c r="O134" s="5">
        <v>410313664</v>
      </c>
      <c r="P134" s="12">
        <f>IFERROR(VLOOKUP(A134,'[1]Padronização 43'!$B:$Q,16,0),0)</f>
        <v>60</v>
      </c>
      <c r="Q134" s="5">
        <f t="shared" si="6"/>
        <v>0.66666666666666663</v>
      </c>
      <c r="R134" s="5">
        <f t="shared" si="7"/>
        <v>1.6666666666666667</v>
      </c>
      <c r="S134" s="5">
        <f t="shared" si="8"/>
        <v>1.7083333333333333</v>
      </c>
    </row>
    <row r="135" spans="1:19" s="5" customFormat="1" ht="12" x14ac:dyDescent="0.3">
      <c r="A135" s="4">
        <v>430313662</v>
      </c>
      <c r="B135" s="4" t="s">
        <v>444</v>
      </c>
      <c r="C135" s="8">
        <v>48</v>
      </c>
      <c r="D135" s="8">
        <v>48</v>
      </c>
      <c r="E135" s="8">
        <v>54</v>
      </c>
      <c r="F135" s="8">
        <v>59</v>
      </c>
      <c r="G135" s="8">
        <v>59</v>
      </c>
      <c r="H135" s="1">
        <v>62</v>
      </c>
      <c r="I135" s="1">
        <v>64</v>
      </c>
      <c r="J135" s="1">
        <v>64</v>
      </c>
      <c r="K135" s="8">
        <v>66</v>
      </c>
      <c r="L135" s="8">
        <v>66</v>
      </c>
      <c r="M135" s="8">
        <v>95</v>
      </c>
      <c r="N135" s="8">
        <v>49</v>
      </c>
      <c r="O135" s="5">
        <v>410313662</v>
      </c>
      <c r="P135" s="12">
        <f>IFERROR(VLOOKUP(A135,'[1]Padronização 43'!$B:$Q,16,0),0)</f>
        <v>40</v>
      </c>
      <c r="Q135" s="5">
        <f t="shared" si="6"/>
        <v>1.6</v>
      </c>
      <c r="R135" s="5">
        <f t="shared" si="7"/>
        <v>2.6666666666666665</v>
      </c>
      <c r="S135" s="5">
        <f t="shared" si="8"/>
        <v>2.75</v>
      </c>
    </row>
    <row r="136" spans="1:19" s="5" customFormat="1" ht="12" x14ac:dyDescent="0.3">
      <c r="A136" s="4">
        <v>430313664</v>
      </c>
      <c r="B136" s="4" t="s">
        <v>445</v>
      </c>
      <c r="C136" s="8">
        <v>4</v>
      </c>
      <c r="D136" s="8">
        <v>4</v>
      </c>
      <c r="E136" s="8">
        <v>5</v>
      </c>
      <c r="F136" s="8">
        <v>5</v>
      </c>
      <c r="G136" s="8">
        <v>5</v>
      </c>
      <c r="H136" s="1">
        <v>6</v>
      </c>
      <c r="I136" s="1">
        <v>6</v>
      </c>
      <c r="J136" s="1">
        <v>6</v>
      </c>
      <c r="K136" s="8">
        <v>6</v>
      </c>
      <c r="L136" s="8">
        <v>6</v>
      </c>
      <c r="M136" s="8">
        <v>9</v>
      </c>
      <c r="N136" s="8">
        <v>5</v>
      </c>
      <c r="O136" s="5">
        <v>410313664</v>
      </c>
      <c r="P136" s="12">
        <f>IFERROR(VLOOKUP(A136,'[1]Padronização 43'!$B:$Q,16,0),0)</f>
        <v>60</v>
      </c>
      <c r="Q136" s="5">
        <f t="shared" si="6"/>
        <v>0.1</v>
      </c>
      <c r="R136" s="5">
        <f t="shared" si="7"/>
        <v>0.25</v>
      </c>
      <c r="S136" s="5">
        <f t="shared" si="8"/>
        <v>0.25</v>
      </c>
    </row>
    <row r="137" spans="1:19" s="5" customFormat="1" ht="12" x14ac:dyDescent="0.3">
      <c r="A137" s="4">
        <v>430313681</v>
      </c>
      <c r="B137" s="4" t="s">
        <v>446</v>
      </c>
      <c r="C137" s="8">
        <v>48</v>
      </c>
      <c r="D137" s="8">
        <v>48</v>
      </c>
      <c r="E137" s="8">
        <v>55</v>
      </c>
      <c r="F137" s="8">
        <v>60</v>
      </c>
      <c r="G137" s="8">
        <v>60</v>
      </c>
      <c r="H137" s="1">
        <v>63</v>
      </c>
      <c r="I137" s="1">
        <v>65</v>
      </c>
      <c r="J137" s="1">
        <v>65</v>
      </c>
      <c r="K137" s="8">
        <v>67</v>
      </c>
      <c r="L137" s="8">
        <v>67</v>
      </c>
      <c r="M137" s="8">
        <v>97</v>
      </c>
      <c r="N137" s="8">
        <v>50</v>
      </c>
      <c r="O137" s="5">
        <v>410313681</v>
      </c>
      <c r="P137" s="12">
        <f>IFERROR(VLOOKUP(A137,'[1]Padronização 43'!$B:$Q,16,0),0)</f>
        <v>8</v>
      </c>
      <c r="Q137" s="5">
        <f t="shared" si="6"/>
        <v>8.125</v>
      </c>
      <c r="R137" s="5">
        <f t="shared" si="7"/>
        <v>2.7083333333333335</v>
      </c>
      <c r="S137" s="5">
        <f t="shared" si="8"/>
        <v>2.7916666666666665</v>
      </c>
    </row>
    <row r="138" spans="1:19" s="5" customFormat="1" ht="12" x14ac:dyDescent="0.3">
      <c r="A138" s="4">
        <v>430313699</v>
      </c>
      <c r="B138" s="4" t="s">
        <v>447</v>
      </c>
      <c r="C138" s="8">
        <v>22</v>
      </c>
      <c r="D138" s="8">
        <v>22</v>
      </c>
      <c r="E138" s="8">
        <v>25</v>
      </c>
      <c r="F138" s="8">
        <v>27</v>
      </c>
      <c r="G138" s="8">
        <v>27</v>
      </c>
      <c r="H138" s="1">
        <v>29</v>
      </c>
      <c r="I138" s="1">
        <v>30</v>
      </c>
      <c r="J138" s="1">
        <v>30</v>
      </c>
      <c r="K138" s="8">
        <v>31</v>
      </c>
      <c r="L138" s="8">
        <v>31</v>
      </c>
      <c r="M138" s="8">
        <v>44</v>
      </c>
      <c r="N138" s="8">
        <v>23</v>
      </c>
      <c r="O138" s="5">
        <v>410313699</v>
      </c>
      <c r="P138" s="12">
        <f>IFERROR(VLOOKUP(A138,'[1]Padronização 43'!$B:$Q,16,0),0)</f>
        <v>120</v>
      </c>
      <c r="Q138" s="5">
        <f t="shared" si="6"/>
        <v>0.25</v>
      </c>
      <c r="R138" s="5">
        <f t="shared" si="7"/>
        <v>1.25</v>
      </c>
      <c r="S138" s="5">
        <f t="shared" si="8"/>
        <v>1.2916666666666667</v>
      </c>
    </row>
    <row r="139" spans="1:19" s="5" customFormat="1" ht="12" x14ac:dyDescent="0.3">
      <c r="A139" s="4">
        <v>430316503</v>
      </c>
      <c r="B139" s="4" t="s">
        <v>448</v>
      </c>
      <c r="C139" s="8">
        <v>47</v>
      </c>
      <c r="D139" s="8">
        <v>47</v>
      </c>
      <c r="E139" s="8">
        <v>53</v>
      </c>
      <c r="F139" s="8">
        <v>58</v>
      </c>
      <c r="G139" s="8">
        <v>58</v>
      </c>
      <c r="H139" s="1">
        <v>61</v>
      </c>
      <c r="I139" s="1">
        <v>63</v>
      </c>
      <c r="J139" s="1">
        <v>63</v>
      </c>
      <c r="K139" s="8">
        <v>65</v>
      </c>
      <c r="L139" s="8">
        <v>65</v>
      </c>
      <c r="M139" s="8">
        <v>94</v>
      </c>
      <c r="N139" s="8">
        <v>48</v>
      </c>
      <c r="O139" s="5">
        <v>410316564</v>
      </c>
      <c r="P139" s="12">
        <f>IFERROR(VLOOKUP(A139,'[1]Padronização 43'!$B:$Q,16,0),0)</f>
        <v>60</v>
      </c>
      <c r="Q139" s="5">
        <f t="shared" si="6"/>
        <v>1.05</v>
      </c>
      <c r="R139" s="5">
        <f t="shared" si="7"/>
        <v>2.625</v>
      </c>
      <c r="S139" s="5">
        <f t="shared" si="8"/>
        <v>2.7083333333333335</v>
      </c>
    </row>
    <row r="140" spans="1:19" s="5" customFormat="1" ht="12" x14ac:dyDescent="0.3">
      <c r="A140" s="4">
        <v>430316564</v>
      </c>
      <c r="B140" s="4" t="s">
        <v>449</v>
      </c>
      <c r="C140" s="8">
        <v>10</v>
      </c>
      <c r="D140" s="8">
        <v>10</v>
      </c>
      <c r="E140" s="8">
        <v>12</v>
      </c>
      <c r="F140" s="8">
        <v>12</v>
      </c>
      <c r="G140" s="8">
        <v>12</v>
      </c>
      <c r="H140" s="1">
        <v>13</v>
      </c>
      <c r="I140" s="1">
        <v>14</v>
      </c>
      <c r="J140" s="1">
        <v>14</v>
      </c>
      <c r="K140" s="8">
        <v>14</v>
      </c>
      <c r="L140" s="8">
        <v>14</v>
      </c>
      <c r="M140" s="8">
        <v>20</v>
      </c>
      <c r="N140" s="8">
        <v>10</v>
      </c>
      <c r="O140" s="5">
        <v>410316564</v>
      </c>
      <c r="P140" s="12">
        <f>IFERROR(VLOOKUP(A140,'[1]Padronização 43'!$B:$Q,16,0),0)</f>
        <v>60</v>
      </c>
      <c r="Q140" s="5">
        <f t="shared" si="6"/>
        <v>0.23333333333333334</v>
      </c>
      <c r="R140" s="5">
        <f t="shared" si="7"/>
        <v>0.58333333333333337</v>
      </c>
      <c r="S140" s="5">
        <f t="shared" si="8"/>
        <v>0.58333333333333337</v>
      </c>
    </row>
    <row r="141" spans="1:19" s="5" customFormat="1" ht="12" x14ac:dyDescent="0.3">
      <c r="A141" s="4">
        <v>430316599</v>
      </c>
      <c r="B141" s="4" t="s">
        <v>450</v>
      </c>
      <c r="C141" s="8">
        <v>33</v>
      </c>
      <c r="D141" s="8">
        <v>33</v>
      </c>
      <c r="E141" s="8">
        <v>38</v>
      </c>
      <c r="F141" s="8">
        <v>41</v>
      </c>
      <c r="G141" s="8">
        <v>41</v>
      </c>
      <c r="H141" s="1">
        <v>43</v>
      </c>
      <c r="I141" s="1">
        <v>44</v>
      </c>
      <c r="J141" s="1">
        <v>44</v>
      </c>
      <c r="K141" s="8">
        <v>46</v>
      </c>
      <c r="L141" s="8">
        <v>46</v>
      </c>
      <c r="M141" s="8">
        <v>66</v>
      </c>
      <c r="N141" s="8">
        <v>34</v>
      </c>
      <c r="O141" s="5">
        <v>410316599</v>
      </c>
      <c r="P141" s="12">
        <f>IFERROR(VLOOKUP(A141,'[1]Padronização 43'!$B:$Q,16,0),0)</f>
        <v>120</v>
      </c>
      <c r="Q141" s="5">
        <f t="shared" si="6"/>
        <v>0.36666666666666664</v>
      </c>
      <c r="R141" s="5">
        <f t="shared" si="7"/>
        <v>1.8333333333333333</v>
      </c>
      <c r="S141" s="5">
        <f t="shared" si="8"/>
        <v>1.9166666666666667</v>
      </c>
    </row>
    <row r="142" spans="1:19" s="5" customFormat="1" ht="12" x14ac:dyDescent="0.3">
      <c r="A142" s="4">
        <v>430316603</v>
      </c>
      <c r="B142" s="4" t="s">
        <v>451</v>
      </c>
      <c r="C142" s="8">
        <v>43</v>
      </c>
      <c r="D142" s="8">
        <v>43</v>
      </c>
      <c r="E142" s="8">
        <v>49</v>
      </c>
      <c r="F142" s="8">
        <v>53</v>
      </c>
      <c r="G142" s="8">
        <v>53</v>
      </c>
      <c r="H142" s="1">
        <v>57</v>
      </c>
      <c r="I142" s="1">
        <v>58</v>
      </c>
      <c r="J142" s="1">
        <v>58</v>
      </c>
      <c r="K142" s="8">
        <v>60</v>
      </c>
      <c r="L142" s="8">
        <v>60</v>
      </c>
      <c r="M142" s="8">
        <v>87</v>
      </c>
      <c r="N142" s="8">
        <v>45</v>
      </c>
      <c r="O142" s="5">
        <v>410316664</v>
      </c>
      <c r="P142" s="12">
        <f>IFERROR(VLOOKUP(A142,'[1]Padronização 43'!$B:$Q,16,0),0)</f>
        <v>60</v>
      </c>
      <c r="Q142" s="5">
        <f t="shared" si="6"/>
        <v>0.96666666666666667</v>
      </c>
      <c r="R142" s="5">
        <f t="shared" si="7"/>
        <v>2.4166666666666665</v>
      </c>
      <c r="S142" s="5">
        <f t="shared" si="8"/>
        <v>2.5</v>
      </c>
    </row>
    <row r="143" spans="1:19" s="5" customFormat="1" ht="12" x14ac:dyDescent="0.3">
      <c r="A143" s="4">
        <v>430316664</v>
      </c>
      <c r="B143" s="4" t="s">
        <v>452</v>
      </c>
      <c r="C143" s="8">
        <v>5</v>
      </c>
      <c r="D143" s="8">
        <v>5</v>
      </c>
      <c r="E143" s="8">
        <v>6</v>
      </c>
      <c r="F143" s="8">
        <v>6</v>
      </c>
      <c r="G143" s="8">
        <v>6</v>
      </c>
      <c r="H143" s="1">
        <v>7</v>
      </c>
      <c r="I143" s="1">
        <v>7</v>
      </c>
      <c r="J143" s="1">
        <v>7</v>
      </c>
      <c r="K143" s="8">
        <v>7</v>
      </c>
      <c r="L143" s="8">
        <v>7</v>
      </c>
      <c r="M143" s="8">
        <v>10</v>
      </c>
      <c r="N143" s="8">
        <v>5</v>
      </c>
      <c r="O143" s="5">
        <v>410316664</v>
      </c>
      <c r="P143" s="12">
        <f>IFERROR(VLOOKUP(A143,'[1]Padronização 43'!$B:$Q,16,0),0)</f>
        <v>60</v>
      </c>
      <c r="Q143" s="5">
        <f t="shared" si="6"/>
        <v>0.11666666666666667</v>
      </c>
      <c r="R143" s="5">
        <f t="shared" si="7"/>
        <v>0.29166666666666669</v>
      </c>
      <c r="S143" s="5">
        <f t="shared" si="8"/>
        <v>0.29166666666666669</v>
      </c>
    </row>
    <row r="144" spans="1:19" s="5" customFormat="1" ht="12" x14ac:dyDescent="0.3">
      <c r="A144" s="4">
        <v>430316903</v>
      </c>
      <c r="B144" s="4" t="s">
        <v>453</v>
      </c>
      <c r="C144" s="8">
        <v>50</v>
      </c>
      <c r="D144" s="8">
        <v>50</v>
      </c>
      <c r="E144" s="8">
        <v>57</v>
      </c>
      <c r="F144" s="8">
        <v>62</v>
      </c>
      <c r="G144" s="8">
        <v>62</v>
      </c>
      <c r="H144" s="1">
        <v>66</v>
      </c>
      <c r="I144" s="1">
        <v>67</v>
      </c>
      <c r="J144" s="1">
        <v>67</v>
      </c>
      <c r="K144" s="8">
        <v>70</v>
      </c>
      <c r="L144" s="8">
        <v>70</v>
      </c>
      <c r="M144" s="8">
        <v>101</v>
      </c>
      <c r="N144" s="8">
        <v>52</v>
      </c>
      <c r="O144" s="5">
        <v>410316964</v>
      </c>
      <c r="P144" s="12">
        <f>IFERROR(VLOOKUP(A144,'[1]Padronização 43'!$B:$Q,16,0),0)</f>
        <v>60</v>
      </c>
      <c r="Q144" s="5">
        <f t="shared" si="6"/>
        <v>1.1166666666666667</v>
      </c>
      <c r="R144" s="5">
        <f t="shared" si="7"/>
        <v>2.7916666666666665</v>
      </c>
      <c r="S144" s="5">
        <f t="shared" si="8"/>
        <v>2.9166666666666665</v>
      </c>
    </row>
    <row r="145" spans="1:19" s="5" customFormat="1" ht="12" x14ac:dyDescent="0.3">
      <c r="A145" s="4">
        <v>430316964</v>
      </c>
      <c r="B145" s="4" t="s">
        <v>454</v>
      </c>
      <c r="C145" s="8">
        <v>11</v>
      </c>
      <c r="D145" s="8">
        <v>11</v>
      </c>
      <c r="E145" s="8">
        <v>12</v>
      </c>
      <c r="F145" s="8">
        <v>13</v>
      </c>
      <c r="G145" s="8">
        <v>13</v>
      </c>
      <c r="H145" s="1">
        <v>14</v>
      </c>
      <c r="I145" s="1">
        <v>14</v>
      </c>
      <c r="J145" s="1">
        <v>14</v>
      </c>
      <c r="K145" s="8">
        <v>15</v>
      </c>
      <c r="L145" s="8">
        <v>15</v>
      </c>
      <c r="M145" s="8">
        <v>21</v>
      </c>
      <c r="N145" s="8">
        <v>11</v>
      </c>
      <c r="O145" s="5">
        <v>410316964</v>
      </c>
      <c r="P145" s="12">
        <f>IFERROR(VLOOKUP(A145,'[1]Padronização 43'!$B:$Q,16,0),0)</f>
        <v>60</v>
      </c>
      <c r="Q145" s="5">
        <f t="shared" si="6"/>
        <v>0.23333333333333334</v>
      </c>
      <c r="R145" s="5">
        <f t="shared" si="7"/>
        <v>0.58333333333333337</v>
      </c>
      <c r="S145" s="5">
        <f t="shared" si="8"/>
        <v>0.625</v>
      </c>
    </row>
    <row r="146" spans="1:19" s="5" customFormat="1" ht="12" x14ac:dyDescent="0.3">
      <c r="A146" s="4">
        <v>430316999</v>
      </c>
      <c r="B146" s="4" t="s">
        <v>455</v>
      </c>
      <c r="C146" s="8">
        <v>38</v>
      </c>
      <c r="D146" s="8">
        <v>38</v>
      </c>
      <c r="E146" s="8">
        <v>44</v>
      </c>
      <c r="F146" s="8">
        <v>47</v>
      </c>
      <c r="G146" s="8">
        <v>47</v>
      </c>
      <c r="H146" s="1">
        <v>50</v>
      </c>
      <c r="I146" s="1">
        <v>51</v>
      </c>
      <c r="J146" s="1">
        <v>51</v>
      </c>
      <c r="K146" s="8">
        <v>53</v>
      </c>
      <c r="L146" s="8">
        <v>53</v>
      </c>
      <c r="M146" s="8">
        <v>77</v>
      </c>
      <c r="N146" s="8">
        <v>40</v>
      </c>
      <c r="O146" s="5">
        <v>410316999</v>
      </c>
      <c r="P146" s="12">
        <f>IFERROR(VLOOKUP(A146,'[1]Padronização 43'!$B:$Q,16,0),0)</f>
        <v>120</v>
      </c>
      <c r="Q146" s="5">
        <f t="shared" si="6"/>
        <v>0.42499999999999999</v>
      </c>
      <c r="R146" s="5">
        <f t="shared" si="7"/>
        <v>2.125</v>
      </c>
      <c r="S146" s="5">
        <f t="shared" si="8"/>
        <v>2.2083333333333335</v>
      </c>
    </row>
    <row r="147" spans="1:19" s="5" customFormat="1" ht="12" x14ac:dyDescent="0.3">
      <c r="A147" s="4">
        <v>430321690</v>
      </c>
      <c r="B147" s="4" t="s">
        <v>456</v>
      </c>
      <c r="C147" s="8">
        <v>15</v>
      </c>
      <c r="D147" s="8">
        <v>15</v>
      </c>
      <c r="E147" s="8">
        <v>17</v>
      </c>
      <c r="F147" s="8">
        <v>19</v>
      </c>
      <c r="G147" s="8">
        <v>19</v>
      </c>
      <c r="H147" s="1">
        <v>20</v>
      </c>
      <c r="I147" s="1">
        <v>20</v>
      </c>
      <c r="J147" s="1">
        <v>20</v>
      </c>
      <c r="K147" s="8">
        <v>21</v>
      </c>
      <c r="L147" s="8">
        <v>21</v>
      </c>
      <c r="M147" s="8">
        <v>30</v>
      </c>
      <c r="N147" s="8">
        <v>16</v>
      </c>
      <c r="O147" s="5">
        <v>0</v>
      </c>
      <c r="P147" s="12">
        <f>IFERROR(VLOOKUP(A147,'[1]Padronização 43'!$B:$Q,16,0),0)</f>
        <v>0</v>
      </c>
      <c r="Q147" s="5">
        <f t="shared" si="6"/>
        <v>0</v>
      </c>
      <c r="R147" s="5">
        <f t="shared" si="7"/>
        <v>0.83333333333333337</v>
      </c>
      <c r="S147" s="5">
        <f t="shared" si="8"/>
        <v>0.875</v>
      </c>
    </row>
    <row r="148" spans="1:19" s="5" customFormat="1" ht="12" x14ac:dyDescent="0.3">
      <c r="A148" s="4">
        <v>430340057</v>
      </c>
      <c r="B148" s="4" t="s">
        <v>457</v>
      </c>
      <c r="C148" s="8">
        <v>119</v>
      </c>
      <c r="D148" s="8">
        <v>119</v>
      </c>
      <c r="E148" s="8">
        <v>135</v>
      </c>
      <c r="F148" s="8">
        <v>146</v>
      </c>
      <c r="G148" s="8">
        <v>146</v>
      </c>
      <c r="H148" s="1">
        <v>155</v>
      </c>
      <c r="I148" s="1">
        <v>159</v>
      </c>
      <c r="J148" s="1">
        <v>159</v>
      </c>
      <c r="K148" s="8">
        <v>165</v>
      </c>
      <c r="L148" s="8">
        <v>165</v>
      </c>
      <c r="M148" s="8">
        <v>238</v>
      </c>
      <c r="N148" s="8">
        <v>123</v>
      </c>
      <c r="O148" s="5">
        <v>410340057</v>
      </c>
      <c r="P148" s="12">
        <f>IFERROR(VLOOKUP(A148,'[1]Padronização 43'!$B:$Q,16,0),0)</f>
        <v>12</v>
      </c>
      <c r="Q148" s="5">
        <f t="shared" si="6"/>
        <v>13.25</v>
      </c>
      <c r="R148" s="5">
        <f t="shared" si="7"/>
        <v>6.625</v>
      </c>
      <c r="S148" s="5">
        <f t="shared" si="8"/>
        <v>6.875</v>
      </c>
    </row>
    <row r="149" spans="1:19" s="5" customFormat="1" ht="12" x14ac:dyDescent="0.3">
      <c r="A149" s="4">
        <v>430342157</v>
      </c>
      <c r="B149" s="4" t="s">
        <v>458</v>
      </c>
      <c r="C149" s="8">
        <v>61</v>
      </c>
      <c r="D149" s="8">
        <v>61</v>
      </c>
      <c r="E149" s="8">
        <v>70</v>
      </c>
      <c r="F149" s="8">
        <v>75</v>
      </c>
      <c r="G149" s="8">
        <v>75</v>
      </c>
      <c r="H149" s="1">
        <v>80</v>
      </c>
      <c r="I149" s="1">
        <v>82</v>
      </c>
      <c r="J149" s="1">
        <v>82</v>
      </c>
      <c r="K149" s="8">
        <v>85</v>
      </c>
      <c r="L149" s="8">
        <v>85</v>
      </c>
      <c r="M149" s="8">
        <v>122</v>
      </c>
      <c r="N149" s="8">
        <v>63</v>
      </c>
      <c r="O149" s="5">
        <v>410342157</v>
      </c>
      <c r="P149" s="12">
        <f>IFERROR(VLOOKUP(A149,'[1]Padronização 43'!$B:$Q,16,0),0)</f>
        <v>12</v>
      </c>
      <c r="Q149" s="5">
        <f t="shared" si="6"/>
        <v>6.833333333333333</v>
      </c>
      <c r="R149" s="5">
        <f t="shared" si="7"/>
        <v>3.4166666666666665</v>
      </c>
      <c r="S149" s="5">
        <f t="shared" si="8"/>
        <v>3.5416666666666665</v>
      </c>
    </row>
    <row r="150" spans="1:19" s="5" customFormat="1" ht="12" x14ac:dyDescent="0.3">
      <c r="A150" s="4">
        <v>430360287</v>
      </c>
      <c r="B150" s="4" t="s">
        <v>459</v>
      </c>
      <c r="C150" s="8">
        <v>57</v>
      </c>
      <c r="D150" s="8">
        <v>57</v>
      </c>
      <c r="E150" s="8">
        <v>65</v>
      </c>
      <c r="F150" s="8">
        <v>70</v>
      </c>
      <c r="G150" s="8">
        <v>70</v>
      </c>
      <c r="H150" s="1">
        <v>75</v>
      </c>
      <c r="I150" s="1">
        <v>76</v>
      </c>
      <c r="J150" s="1">
        <v>76</v>
      </c>
      <c r="K150" s="8">
        <v>79</v>
      </c>
      <c r="L150" s="8">
        <v>79</v>
      </c>
      <c r="M150" s="8">
        <v>114</v>
      </c>
      <c r="N150" s="8">
        <v>59</v>
      </c>
      <c r="O150" s="5">
        <v>410360287</v>
      </c>
      <c r="P150" s="12">
        <f>IFERROR(VLOOKUP(A150,'[1]Padronização 43'!$B:$Q,16,0),0)</f>
        <v>8</v>
      </c>
      <c r="Q150" s="5">
        <f t="shared" si="6"/>
        <v>9.5</v>
      </c>
      <c r="R150" s="5">
        <f t="shared" si="7"/>
        <v>3.1666666666666665</v>
      </c>
      <c r="S150" s="5">
        <f t="shared" si="8"/>
        <v>3.2916666666666665</v>
      </c>
    </row>
    <row r="151" spans="1:19" s="5" customFormat="1" ht="12" x14ac:dyDescent="0.3">
      <c r="A151" s="4">
        <v>430360387</v>
      </c>
      <c r="B151" s="4" t="s">
        <v>460</v>
      </c>
      <c r="C151" s="8">
        <v>43</v>
      </c>
      <c r="D151" s="8">
        <v>43</v>
      </c>
      <c r="E151" s="8">
        <v>49</v>
      </c>
      <c r="F151" s="8">
        <v>53</v>
      </c>
      <c r="G151" s="8">
        <v>53</v>
      </c>
      <c r="H151" s="1">
        <v>56</v>
      </c>
      <c r="I151" s="1">
        <v>58</v>
      </c>
      <c r="J151" s="1">
        <v>58</v>
      </c>
      <c r="K151" s="8">
        <v>60</v>
      </c>
      <c r="L151" s="8">
        <v>60</v>
      </c>
      <c r="M151" s="8">
        <v>86</v>
      </c>
      <c r="N151" s="8">
        <v>44</v>
      </c>
      <c r="O151" s="5">
        <v>410360387</v>
      </c>
      <c r="P151" s="12">
        <f>IFERROR(VLOOKUP(A151,'[1]Padronização 43'!$B:$Q,16,0),0)</f>
        <v>8</v>
      </c>
      <c r="Q151" s="5">
        <f t="shared" si="6"/>
        <v>7.25</v>
      </c>
      <c r="R151" s="5">
        <f t="shared" si="7"/>
        <v>2.4166666666666665</v>
      </c>
      <c r="S151" s="5">
        <f t="shared" si="8"/>
        <v>2.5</v>
      </c>
    </row>
    <row r="152" spans="1:19" s="5" customFormat="1" ht="12" x14ac:dyDescent="0.3">
      <c r="A152" s="4">
        <v>430361087</v>
      </c>
      <c r="B152" s="4" t="s">
        <v>461</v>
      </c>
      <c r="C152" s="8">
        <v>66</v>
      </c>
      <c r="D152" s="8">
        <v>66</v>
      </c>
      <c r="E152" s="8">
        <v>75</v>
      </c>
      <c r="F152" s="8">
        <v>81</v>
      </c>
      <c r="G152" s="8">
        <v>81</v>
      </c>
      <c r="H152" s="1">
        <v>86</v>
      </c>
      <c r="I152" s="1">
        <v>88</v>
      </c>
      <c r="J152" s="1">
        <v>88</v>
      </c>
      <c r="K152" s="8">
        <v>91</v>
      </c>
      <c r="L152" s="8">
        <v>91</v>
      </c>
      <c r="M152" s="8">
        <v>132</v>
      </c>
      <c r="N152" s="8">
        <v>68</v>
      </c>
      <c r="O152" s="5">
        <v>410361087</v>
      </c>
      <c r="P152" s="12">
        <f>IFERROR(VLOOKUP(A152,'[1]Padronização 43'!$B:$Q,16,0),0)</f>
        <v>8</v>
      </c>
      <c r="Q152" s="5">
        <f t="shared" si="6"/>
        <v>11</v>
      </c>
      <c r="R152" s="5">
        <f t="shared" si="7"/>
        <v>3.6666666666666665</v>
      </c>
      <c r="S152" s="5">
        <f t="shared" si="8"/>
        <v>3.7916666666666665</v>
      </c>
    </row>
    <row r="153" spans="1:19" s="5" customFormat="1" ht="12" x14ac:dyDescent="0.3">
      <c r="A153" s="4">
        <v>430362187</v>
      </c>
      <c r="B153" s="4" t="s">
        <v>462</v>
      </c>
      <c r="C153" s="8">
        <v>46</v>
      </c>
      <c r="D153" s="8">
        <v>46</v>
      </c>
      <c r="E153" s="8">
        <v>52</v>
      </c>
      <c r="F153" s="8">
        <v>57</v>
      </c>
      <c r="G153" s="8">
        <v>57</v>
      </c>
      <c r="H153" s="1">
        <v>60</v>
      </c>
      <c r="I153" s="1">
        <v>62</v>
      </c>
      <c r="J153" s="1">
        <v>62</v>
      </c>
      <c r="K153" s="8">
        <v>64</v>
      </c>
      <c r="L153" s="8">
        <v>64</v>
      </c>
      <c r="M153" s="8">
        <v>92</v>
      </c>
      <c r="N153" s="8">
        <v>47</v>
      </c>
      <c r="O153" s="5">
        <v>410362187</v>
      </c>
      <c r="P153" s="12">
        <f>IFERROR(VLOOKUP(A153,'[1]Padronização 43'!$B:$Q,16,0),0)</f>
        <v>8</v>
      </c>
      <c r="Q153" s="5">
        <f t="shared" si="6"/>
        <v>7.75</v>
      </c>
      <c r="R153" s="5">
        <f t="shared" si="7"/>
        <v>2.5833333333333335</v>
      </c>
      <c r="S153" s="5">
        <f t="shared" si="8"/>
        <v>2.6666666666666665</v>
      </c>
    </row>
    <row r="154" spans="1:19" s="5" customFormat="1" ht="12" x14ac:dyDescent="0.3">
      <c r="A154" s="4">
        <v>430425715</v>
      </c>
      <c r="B154" s="4" t="s">
        <v>463</v>
      </c>
      <c r="C154" s="8">
        <v>61</v>
      </c>
      <c r="D154" s="8">
        <v>61</v>
      </c>
      <c r="E154" s="8">
        <v>69</v>
      </c>
      <c r="F154" s="8">
        <v>75</v>
      </c>
      <c r="G154" s="8">
        <v>75</v>
      </c>
      <c r="H154" s="1">
        <v>80</v>
      </c>
      <c r="I154" s="1">
        <v>82</v>
      </c>
      <c r="J154" s="1">
        <v>82</v>
      </c>
      <c r="K154" s="8">
        <v>84</v>
      </c>
      <c r="L154" s="8">
        <v>84</v>
      </c>
      <c r="M154" s="8">
        <v>122</v>
      </c>
      <c r="N154" s="8">
        <v>63</v>
      </c>
      <c r="O154" s="5">
        <v>410425715</v>
      </c>
      <c r="P154" s="12">
        <f>IFERROR(VLOOKUP(A154,'[1]Padronização 43'!$B:$Q,16,0),0)</f>
        <v>12</v>
      </c>
      <c r="Q154" s="5">
        <f t="shared" si="6"/>
        <v>6.833333333333333</v>
      </c>
      <c r="R154" s="5">
        <f t="shared" si="7"/>
        <v>3.4166666666666665</v>
      </c>
      <c r="S154" s="5">
        <f t="shared" si="8"/>
        <v>3.5</v>
      </c>
    </row>
    <row r="155" spans="1:19" s="5" customFormat="1" ht="12" x14ac:dyDescent="0.3">
      <c r="A155" s="4">
        <v>430425815</v>
      </c>
      <c r="B155" s="4" t="s">
        <v>464</v>
      </c>
      <c r="C155" s="8">
        <v>40</v>
      </c>
      <c r="D155" s="8">
        <v>40</v>
      </c>
      <c r="E155" s="8">
        <v>46</v>
      </c>
      <c r="F155" s="8">
        <v>49</v>
      </c>
      <c r="G155" s="8">
        <v>49</v>
      </c>
      <c r="H155" s="1">
        <v>52</v>
      </c>
      <c r="I155" s="1">
        <v>54</v>
      </c>
      <c r="J155" s="1">
        <v>54</v>
      </c>
      <c r="K155" s="8">
        <v>55</v>
      </c>
      <c r="L155" s="8">
        <v>55</v>
      </c>
      <c r="M155" s="8">
        <v>80</v>
      </c>
      <c r="N155" s="8">
        <v>41</v>
      </c>
      <c r="O155" s="5">
        <v>410425815</v>
      </c>
      <c r="P155" s="12">
        <f>IFERROR(VLOOKUP(A155,'[1]Padronização 43'!$B:$Q,16,0),0)</f>
        <v>12</v>
      </c>
      <c r="Q155" s="5">
        <f t="shared" si="6"/>
        <v>4.5</v>
      </c>
      <c r="R155" s="5">
        <f t="shared" si="7"/>
        <v>2.25</v>
      </c>
      <c r="S155" s="5">
        <f t="shared" si="8"/>
        <v>2.2916666666666665</v>
      </c>
    </row>
    <row r="156" spans="1:19" s="5" customFormat="1" ht="12" x14ac:dyDescent="0.3">
      <c r="A156" s="4">
        <v>430426015</v>
      </c>
      <c r="B156" s="4" t="s">
        <v>465</v>
      </c>
      <c r="C156" s="8">
        <v>36</v>
      </c>
      <c r="D156" s="8">
        <v>36</v>
      </c>
      <c r="E156" s="8">
        <v>41</v>
      </c>
      <c r="F156" s="8">
        <v>44</v>
      </c>
      <c r="G156" s="8">
        <v>44</v>
      </c>
      <c r="H156" s="1">
        <v>47</v>
      </c>
      <c r="I156" s="1">
        <v>48</v>
      </c>
      <c r="J156" s="1">
        <v>48</v>
      </c>
      <c r="K156" s="8">
        <v>50</v>
      </c>
      <c r="L156" s="8">
        <v>50</v>
      </c>
      <c r="M156" s="8">
        <v>72</v>
      </c>
      <c r="N156" s="8">
        <v>37</v>
      </c>
      <c r="O156" s="5">
        <v>410426015</v>
      </c>
      <c r="P156" s="12">
        <f>IFERROR(VLOOKUP(A156,'[1]Padronização 43'!$B:$Q,16,0),0)</f>
        <v>12</v>
      </c>
      <c r="Q156" s="5">
        <f t="shared" si="6"/>
        <v>4</v>
      </c>
      <c r="R156" s="5">
        <f t="shared" si="7"/>
        <v>2</v>
      </c>
      <c r="S156" s="5">
        <f t="shared" si="8"/>
        <v>2.0833333333333335</v>
      </c>
    </row>
    <row r="157" spans="1:19" s="5" customFormat="1" ht="12" x14ac:dyDescent="0.3">
      <c r="A157" s="4">
        <v>430430225</v>
      </c>
      <c r="B157" s="4" t="s">
        <v>466</v>
      </c>
      <c r="C157" s="8">
        <v>158</v>
      </c>
      <c r="D157" s="8">
        <v>158</v>
      </c>
      <c r="E157" s="8">
        <v>179</v>
      </c>
      <c r="F157" s="8">
        <v>194</v>
      </c>
      <c r="G157" s="8">
        <v>194</v>
      </c>
      <c r="H157" s="1">
        <v>206</v>
      </c>
      <c r="I157" s="1">
        <v>211</v>
      </c>
      <c r="J157" s="1">
        <v>211</v>
      </c>
      <c r="K157" s="8">
        <v>218</v>
      </c>
      <c r="L157" s="8">
        <v>218</v>
      </c>
      <c r="M157" s="8">
        <v>315</v>
      </c>
      <c r="N157" s="8">
        <v>162</v>
      </c>
      <c r="O157" s="5">
        <v>410430225</v>
      </c>
      <c r="P157" s="12">
        <f>IFERROR(VLOOKUP(A157,'[1]Padronização 43'!$B:$Q,16,0),0)</f>
        <v>12</v>
      </c>
      <c r="Q157" s="5">
        <f t="shared" si="6"/>
        <v>17.583333333333332</v>
      </c>
      <c r="R157" s="5">
        <f t="shared" si="7"/>
        <v>8.7916666666666661</v>
      </c>
      <c r="S157" s="5">
        <f t="shared" si="8"/>
        <v>9.0833333333333339</v>
      </c>
    </row>
    <row r="158" spans="1:19" s="5" customFormat="1" ht="12" x14ac:dyDescent="0.3">
      <c r="A158" s="4">
        <v>430436125</v>
      </c>
      <c r="B158" s="4" t="s">
        <v>467</v>
      </c>
      <c r="C158" s="8">
        <v>179</v>
      </c>
      <c r="D158" s="8">
        <v>179</v>
      </c>
      <c r="E158" s="8">
        <v>204</v>
      </c>
      <c r="F158" s="8">
        <v>221</v>
      </c>
      <c r="G158" s="8">
        <v>221</v>
      </c>
      <c r="H158" s="1">
        <v>235</v>
      </c>
      <c r="I158" s="1">
        <v>240</v>
      </c>
      <c r="J158" s="1">
        <v>240</v>
      </c>
      <c r="K158" s="8">
        <v>249</v>
      </c>
      <c r="L158" s="8">
        <v>249</v>
      </c>
      <c r="M158" s="8">
        <v>359</v>
      </c>
      <c r="N158" s="8">
        <v>185</v>
      </c>
      <c r="O158" s="5">
        <v>410436125</v>
      </c>
      <c r="P158" s="12">
        <f>IFERROR(VLOOKUP(A158,'[1]Padronização 43'!$B:$Q,16,0),0)</f>
        <v>12</v>
      </c>
      <c r="Q158" s="5">
        <f t="shared" si="6"/>
        <v>20</v>
      </c>
      <c r="R158" s="5">
        <f t="shared" si="7"/>
        <v>10</v>
      </c>
      <c r="S158" s="5">
        <f t="shared" si="8"/>
        <v>10.375</v>
      </c>
    </row>
  </sheetData>
  <conditionalFormatting sqref="A1">
    <cfRule type="duplicateValues" dxfId="8" priority="1"/>
    <cfRule type="duplicateValues" dxfId="7" priority="2"/>
    <cfRule type="duplicateValues" dxfId="6" priority="3"/>
  </conditionalFormatting>
  <conditionalFormatting sqref="A2:A158"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  <cfRule type="duplicateValues" dxfId="0" priority="12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3984-3B2A-447B-B54A-62C9D6EA6AF3}">
  <dimension ref="A1:I492"/>
  <sheetViews>
    <sheetView workbookViewId="0">
      <selection sqref="A1:I489"/>
    </sheetView>
  </sheetViews>
  <sheetFormatPr defaultRowHeight="14.4" x14ac:dyDescent="0.3"/>
  <cols>
    <col min="1" max="1" width="11.6640625" bestFit="1" customWidth="1"/>
    <col min="2" max="2" width="13.44140625" bestFit="1" customWidth="1"/>
    <col min="3" max="3" width="20.33203125" bestFit="1" customWidth="1"/>
    <col min="4" max="4" width="35.5546875" bestFit="1" customWidth="1"/>
    <col min="5" max="10" width="15.88671875" bestFit="1" customWidth="1"/>
  </cols>
  <sheetData>
    <row r="1" spans="1:9" x14ac:dyDescent="0.3">
      <c r="A1" t="s">
        <v>468</v>
      </c>
      <c r="B1" t="s">
        <v>2</v>
      </c>
      <c r="C1" t="s">
        <v>469</v>
      </c>
      <c r="D1" t="s">
        <v>470</v>
      </c>
      <c r="E1" t="s">
        <v>471</v>
      </c>
      <c r="F1" t="s">
        <v>472</v>
      </c>
      <c r="G1" t="s">
        <v>473</v>
      </c>
      <c r="H1" t="s">
        <v>474</v>
      </c>
      <c r="I1" t="s">
        <v>475</v>
      </c>
    </row>
    <row r="2" spans="1:9" x14ac:dyDescent="0.3">
      <c r="A2">
        <v>400010032</v>
      </c>
      <c r="B2" t="s">
        <v>476</v>
      </c>
      <c r="C2" t="s">
        <v>477</v>
      </c>
      <c r="D2" t="s">
        <v>478</v>
      </c>
      <c r="E2" t="s">
        <v>479</v>
      </c>
      <c r="F2" t="s">
        <v>480</v>
      </c>
      <c r="G2" t="s">
        <v>480</v>
      </c>
      <c r="H2" t="s">
        <v>480</v>
      </c>
      <c r="I2" t="s">
        <v>480</v>
      </c>
    </row>
    <row r="3" spans="1:9" x14ac:dyDescent="0.3">
      <c r="A3">
        <v>410010020</v>
      </c>
      <c r="B3" t="s">
        <v>476</v>
      </c>
      <c r="C3" t="s">
        <v>477</v>
      </c>
      <c r="D3" t="s">
        <v>478</v>
      </c>
      <c r="E3" t="s">
        <v>479</v>
      </c>
      <c r="F3" t="s">
        <v>480</v>
      </c>
      <c r="G3" t="s">
        <v>480</v>
      </c>
      <c r="H3" t="s">
        <v>480</v>
      </c>
      <c r="I3" t="s">
        <v>480</v>
      </c>
    </row>
    <row r="4" spans="1:9" x14ac:dyDescent="0.3">
      <c r="A4">
        <v>410010021</v>
      </c>
      <c r="B4" t="s">
        <v>476</v>
      </c>
      <c r="C4" t="s">
        <v>477</v>
      </c>
      <c r="D4" t="s">
        <v>478</v>
      </c>
      <c r="E4" t="s">
        <v>479</v>
      </c>
      <c r="F4" t="s">
        <v>480</v>
      </c>
      <c r="G4" t="s">
        <v>480</v>
      </c>
      <c r="H4" t="s">
        <v>480</v>
      </c>
      <c r="I4" t="s">
        <v>480</v>
      </c>
    </row>
    <row r="5" spans="1:9" x14ac:dyDescent="0.3">
      <c r="A5">
        <v>410014791</v>
      </c>
      <c r="B5" t="s">
        <v>476</v>
      </c>
      <c r="C5" t="s">
        <v>481</v>
      </c>
      <c r="D5" t="s">
        <v>482</v>
      </c>
      <c r="E5" t="s">
        <v>479</v>
      </c>
      <c r="F5" t="s">
        <v>480</v>
      </c>
      <c r="G5" t="s">
        <v>480</v>
      </c>
      <c r="H5" t="s">
        <v>480</v>
      </c>
      <c r="I5" t="s">
        <v>480</v>
      </c>
    </row>
    <row r="6" spans="1:9" x14ac:dyDescent="0.3">
      <c r="A6">
        <v>410014792</v>
      </c>
      <c r="B6" t="s">
        <v>476</v>
      </c>
      <c r="C6" t="s">
        <v>481</v>
      </c>
      <c r="D6" t="s">
        <v>482</v>
      </c>
      <c r="E6" t="s">
        <v>479</v>
      </c>
      <c r="F6" t="s">
        <v>480</v>
      </c>
      <c r="G6" t="s">
        <v>480</v>
      </c>
      <c r="H6" t="s">
        <v>480</v>
      </c>
      <c r="I6" t="s">
        <v>480</v>
      </c>
    </row>
    <row r="7" spans="1:9" x14ac:dyDescent="0.3">
      <c r="A7">
        <v>410015592</v>
      </c>
      <c r="B7" t="s">
        <v>476</v>
      </c>
      <c r="C7" t="s">
        <v>483</v>
      </c>
      <c r="D7" t="s">
        <v>484</v>
      </c>
      <c r="E7" t="s">
        <v>479</v>
      </c>
      <c r="F7" t="s">
        <v>480</v>
      </c>
      <c r="G7" t="s">
        <v>485</v>
      </c>
      <c r="H7" t="s">
        <v>485</v>
      </c>
      <c r="I7" t="s">
        <v>485</v>
      </c>
    </row>
    <row r="8" spans="1:9" x14ac:dyDescent="0.3">
      <c r="A8">
        <v>410025604</v>
      </c>
      <c r="B8" t="s">
        <v>476</v>
      </c>
      <c r="C8" t="s">
        <v>477</v>
      </c>
      <c r="D8" t="s">
        <v>486</v>
      </c>
      <c r="E8" t="s">
        <v>479</v>
      </c>
      <c r="F8" t="s">
        <v>480</v>
      </c>
      <c r="G8" t="s">
        <v>480</v>
      </c>
      <c r="H8" t="s">
        <v>480</v>
      </c>
      <c r="I8" t="s">
        <v>487</v>
      </c>
    </row>
    <row r="9" spans="1:9" x14ac:dyDescent="0.3">
      <c r="A9">
        <v>410025614</v>
      </c>
      <c r="B9" t="s">
        <v>476</v>
      </c>
      <c r="C9" t="s">
        <v>477</v>
      </c>
      <c r="D9" t="s">
        <v>488</v>
      </c>
      <c r="E9" t="s">
        <v>479</v>
      </c>
      <c r="F9" t="s">
        <v>489</v>
      </c>
      <c r="G9" t="s">
        <v>489</v>
      </c>
      <c r="H9" t="s">
        <v>489</v>
      </c>
      <c r="I9" t="s">
        <v>487</v>
      </c>
    </row>
    <row r="10" spans="1:9" x14ac:dyDescent="0.3">
      <c r="A10">
        <v>410025626</v>
      </c>
      <c r="B10" t="s">
        <v>476</v>
      </c>
      <c r="C10" t="s">
        <v>477</v>
      </c>
      <c r="D10" t="s">
        <v>486</v>
      </c>
      <c r="E10" t="s">
        <v>479</v>
      </c>
      <c r="F10" t="s">
        <v>480</v>
      </c>
      <c r="G10" t="s">
        <v>480</v>
      </c>
      <c r="H10" t="s">
        <v>480</v>
      </c>
      <c r="I10" t="s">
        <v>487</v>
      </c>
    </row>
    <row r="11" spans="1:9" x14ac:dyDescent="0.3">
      <c r="A11">
        <v>410026410</v>
      </c>
      <c r="B11" t="s">
        <v>476</v>
      </c>
      <c r="C11" t="s">
        <v>481</v>
      </c>
      <c r="D11" t="s">
        <v>490</v>
      </c>
      <c r="E11" t="s">
        <v>479</v>
      </c>
      <c r="F11" t="s">
        <v>480</v>
      </c>
      <c r="G11" t="s">
        <v>480</v>
      </c>
      <c r="H11" t="s">
        <v>480</v>
      </c>
      <c r="I11" t="s">
        <v>487</v>
      </c>
    </row>
    <row r="12" spans="1:9" x14ac:dyDescent="0.3">
      <c r="A12">
        <v>410080024</v>
      </c>
      <c r="B12" t="s">
        <v>476</v>
      </c>
      <c r="C12" t="s">
        <v>477</v>
      </c>
      <c r="D12" t="s">
        <v>491</v>
      </c>
      <c r="E12" t="s">
        <v>479</v>
      </c>
      <c r="F12" t="s">
        <v>480</v>
      </c>
      <c r="G12" t="s">
        <v>480</v>
      </c>
      <c r="H12" t="s">
        <v>480</v>
      </c>
      <c r="I12" t="s">
        <v>480</v>
      </c>
    </row>
    <row r="13" spans="1:9" x14ac:dyDescent="0.3">
      <c r="A13">
        <v>415014749</v>
      </c>
      <c r="B13" t="s">
        <v>476</v>
      </c>
      <c r="C13" t="s">
        <v>481</v>
      </c>
      <c r="D13" t="s">
        <v>482</v>
      </c>
      <c r="E13" t="s">
        <v>479</v>
      </c>
      <c r="F13" t="s">
        <v>480</v>
      </c>
      <c r="G13" t="s">
        <v>480</v>
      </c>
      <c r="H13" t="s">
        <v>480</v>
      </c>
      <c r="I13" t="s">
        <v>480</v>
      </c>
    </row>
    <row r="14" spans="1:9" x14ac:dyDescent="0.3">
      <c r="A14">
        <v>415015602</v>
      </c>
      <c r="B14" t="s">
        <v>476</v>
      </c>
      <c r="C14" t="s">
        <v>477</v>
      </c>
      <c r="D14" t="s">
        <v>478</v>
      </c>
      <c r="E14" t="s">
        <v>479</v>
      </c>
      <c r="F14" t="s">
        <v>480</v>
      </c>
      <c r="G14" t="s">
        <v>480</v>
      </c>
      <c r="H14" t="s">
        <v>480</v>
      </c>
      <c r="I14" t="s">
        <v>480</v>
      </c>
    </row>
    <row r="15" spans="1:9" x14ac:dyDescent="0.3">
      <c r="A15">
        <v>410040157</v>
      </c>
      <c r="B15" t="s">
        <v>492</v>
      </c>
      <c r="C15" t="s">
        <v>493</v>
      </c>
      <c r="D15" t="s">
        <v>494</v>
      </c>
      <c r="E15" t="s">
        <v>479</v>
      </c>
      <c r="F15" t="s">
        <v>480</v>
      </c>
      <c r="G15" t="s">
        <v>480</v>
      </c>
      <c r="H15" t="s">
        <v>480</v>
      </c>
      <c r="I15" t="s">
        <v>480</v>
      </c>
    </row>
    <row r="16" spans="1:9" x14ac:dyDescent="0.3">
      <c r="A16">
        <v>410040257</v>
      </c>
      <c r="B16" t="s">
        <v>492</v>
      </c>
      <c r="C16" t="s">
        <v>493</v>
      </c>
      <c r="D16" t="s">
        <v>495</v>
      </c>
      <c r="E16" t="s">
        <v>479</v>
      </c>
      <c r="F16" t="s">
        <v>480</v>
      </c>
      <c r="G16" t="s">
        <v>480</v>
      </c>
      <c r="H16" t="s">
        <v>480</v>
      </c>
      <c r="I16" t="s">
        <v>480</v>
      </c>
    </row>
    <row r="17" spans="1:9" x14ac:dyDescent="0.3">
      <c r="A17">
        <v>410040357</v>
      </c>
      <c r="B17" t="s">
        <v>492</v>
      </c>
      <c r="C17" t="s">
        <v>493</v>
      </c>
      <c r="D17" t="s">
        <v>494</v>
      </c>
      <c r="E17" t="s">
        <v>479</v>
      </c>
      <c r="F17" t="s">
        <v>480</v>
      </c>
      <c r="G17" t="s">
        <v>480</v>
      </c>
      <c r="H17" t="s">
        <v>480</v>
      </c>
      <c r="I17" t="s">
        <v>480</v>
      </c>
    </row>
    <row r="18" spans="1:9" x14ac:dyDescent="0.3">
      <c r="A18">
        <v>410041357</v>
      </c>
      <c r="B18" t="s">
        <v>492</v>
      </c>
      <c r="C18" t="s">
        <v>493</v>
      </c>
      <c r="D18" t="s">
        <v>494</v>
      </c>
      <c r="E18" t="s">
        <v>479</v>
      </c>
      <c r="F18" t="s">
        <v>480</v>
      </c>
      <c r="G18" t="s">
        <v>480</v>
      </c>
      <c r="H18" t="s">
        <v>480</v>
      </c>
      <c r="I18" t="s">
        <v>480</v>
      </c>
    </row>
    <row r="19" spans="1:9" x14ac:dyDescent="0.3">
      <c r="A19">
        <v>410041457</v>
      </c>
      <c r="B19" t="s">
        <v>492</v>
      </c>
      <c r="C19" t="s">
        <v>493</v>
      </c>
      <c r="D19" t="s">
        <v>494</v>
      </c>
      <c r="E19" t="s">
        <v>479</v>
      </c>
      <c r="F19" t="s">
        <v>480</v>
      </c>
      <c r="G19" t="s">
        <v>480</v>
      </c>
      <c r="H19" t="s">
        <v>480</v>
      </c>
      <c r="I19" t="s">
        <v>480</v>
      </c>
    </row>
    <row r="20" spans="1:9" x14ac:dyDescent="0.3">
      <c r="A20">
        <v>410042957</v>
      </c>
      <c r="B20" t="s">
        <v>492</v>
      </c>
      <c r="C20" t="s">
        <v>493</v>
      </c>
      <c r="D20" t="s">
        <v>494</v>
      </c>
      <c r="E20" t="s">
        <v>479</v>
      </c>
      <c r="F20" t="s">
        <v>480</v>
      </c>
      <c r="G20" t="s">
        <v>480</v>
      </c>
      <c r="H20" t="s">
        <v>480</v>
      </c>
      <c r="I20" t="s">
        <v>480</v>
      </c>
    </row>
    <row r="21" spans="1:9" x14ac:dyDescent="0.3">
      <c r="A21">
        <v>410043157</v>
      </c>
      <c r="B21" t="s">
        <v>492</v>
      </c>
      <c r="C21" t="s">
        <v>493</v>
      </c>
      <c r="D21" t="s">
        <v>494</v>
      </c>
      <c r="E21" t="s">
        <v>479</v>
      </c>
      <c r="F21" t="s">
        <v>480</v>
      </c>
      <c r="G21" t="s">
        <v>480</v>
      </c>
      <c r="H21" t="s">
        <v>480</v>
      </c>
      <c r="I21" t="s">
        <v>480</v>
      </c>
    </row>
    <row r="22" spans="1:9" x14ac:dyDescent="0.3">
      <c r="A22">
        <v>410090260</v>
      </c>
      <c r="B22" t="s">
        <v>492</v>
      </c>
      <c r="C22" t="s">
        <v>496</v>
      </c>
      <c r="D22" t="s">
        <v>497</v>
      </c>
      <c r="E22" t="s">
        <v>479</v>
      </c>
      <c r="F22" t="s">
        <v>480</v>
      </c>
      <c r="G22" t="s">
        <v>480</v>
      </c>
      <c r="H22" t="s">
        <v>480</v>
      </c>
      <c r="I22" t="s">
        <v>480</v>
      </c>
    </row>
    <row r="23" spans="1:9" x14ac:dyDescent="0.3">
      <c r="A23">
        <v>410250135</v>
      </c>
      <c r="B23" t="s">
        <v>492</v>
      </c>
      <c r="C23" t="s">
        <v>498</v>
      </c>
      <c r="D23" t="s">
        <v>499</v>
      </c>
      <c r="E23" t="s">
        <v>479</v>
      </c>
      <c r="F23" t="s">
        <v>500</v>
      </c>
      <c r="G23" t="s">
        <v>480</v>
      </c>
      <c r="H23" t="s">
        <v>480</v>
      </c>
      <c r="I23" t="s">
        <v>480</v>
      </c>
    </row>
    <row r="24" spans="1:9" x14ac:dyDescent="0.3">
      <c r="A24">
        <v>410251235</v>
      </c>
      <c r="B24" t="s">
        <v>492</v>
      </c>
      <c r="C24" t="s">
        <v>498</v>
      </c>
      <c r="D24" t="s">
        <v>499</v>
      </c>
      <c r="E24" t="s">
        <v>479</v>
      </c>
      <c r="F24" t="s">
        <v>500</v>
      </c>
      <c r="G24" t="s">
        <v>500</v>
      </c>
      <c r="H24" t="s">
        <v>500</v>
      </c>
      <c r="I24" t="s">
        <v>500</v>
      </c>
    </row>
    <row r="25" spans="1:9" x14ac:dyDescent="0.3">
      <c r="A25">
        <v>410313464</v>
      </c>
      <c r="B25" t="s">
        <v>492</v>
      </c>
      <c r="C25" t="s">
        <v>501</v>
      </c>
      <c r="D25" t="s">
        <v>502</v>
      </c>
      <c r="E25" t="s">
        <v>479</v>
      </c>
      <c r="F25" t="s">
        <v>480</v>
      </c>
      <c r="G25" t="s">
        <v>480</v>
      </c>
      <c r="H25" t="s">
        <v>480</v>
      </c>
      <c r="I25" t="s">
        <v>480</v>
      </c>
    </row>
    <row r="26" spans="1:9" x14ac:dyDescent="0.3">
      <c r="A26">
        <v>410316564</v>
      </c>
      <c r="B26" t="s">
        <v>492</v>
      </c>
      <c r="C26" t="s">
        <v>501</v>
      </c>
      <c r="D26" t="s">
        <v>502</v>
      </c>
      <c r="E26" t="s">
        <v>479</v>
      </c>
      <c r="F26" t="s">
        <v>480</v>
      </c>
      <c r="G26" t="s">
        <v>480</v>
      </c>
      <c r="H26" t="s">
        <v>480</v>
      </c>
      <c r="I26" t="s">
        <v>480</v>
      </c>
    </row>
    <row r="27" spans="1:9" x14ac:dyDescent="0.3">
      <c r="A27">
        <v>410316964</v>
      </c>
      <c r="B27" t="s">
        <v>492</v>
      </c>
      <c r="C27" t="s">
        <v>501</v>
      </c>
      <c r="D27" t="s">
        <v>502</v>
      </c>
      <c r="E27" t="s">
        <v>479</v>
      </c>
      <c r="F27" t="s">
        <v>480</v>
      </c>
      <c r="G27" t="s">
        <v>480</v>
      </c>
      <c r="H27" t="s">
        <v>480</v>
      </c>
      <c r="I27" t="s">
        <v>480</v>
      </c>
    </row>
    <row r="28" spans="1:9" x14ac:dyDescent="0.3">
      <c r="A28">
        <v>410025615</v>
      </c>
      <c r="B28" t="s">
        <v>476</v>
      </c>
      <c r="C28" t="s">
        <v>477</v>
      </c>
      <c r="D28" t="s">
        <v>488</v>
      </c>
      <c r="E28" t="s">
        <v>503</v>
      </c>
      <c r="F28" t="s">
        <v>480</v>
      </c>
      <c r="G28" t="s">
        <v>480</v>
      </c>
      <c r="H28" t="s">
        <v>480</v>
      </c>
      <c r="I28" t="s">
        <v>487</v>
      </c>
    </row>
    <row r="29" spans="1:9" x14ac:dyDescent="0.3">
      <c r="A29">
        <v>410080295</v>
      </c>
      <c r="B29" t="s">
        <v>476</v>
      </c>
      <c r="C29" t="s">
        <v>483</v>
      </c>
      <c r="D29" t="s">
        <v>504</v>
      </c>
      <c r="E29" t="s">
        <v>503</v>
      </c>
      <c r="F29" t="s">
        <v>480</v>
      </c>
      <c r="G29" t="s">
        <v>480</v>
      </c>
      <c r="H29" t="s">
        <v>480</v>
      </c>
      <c r="I29" t="s">
        <v>480</v>
      </c>
    </row>
    <row r="30" spans="1:9" x14ac:dyDescent="0.3">
      <c r="A30">
        <v>410260057</v>
      </c>
      <c r="B30" t="s">
        <v>492</v>
      </c>
      <c r="C30" t="s">
        <v>505</v>
      </c>
      <c r="D30" t="s">
        <v>116</v>
      </c>
      <c r="E30" t="s">
        <v>503</v>
      </c>
      <c r="F30" t="s">
        <v>500</v>
      </c>
      <c r="G30" t="s">
        <v>500</v>
      </c>
      <c r="H30" t="s">
        <v>500</v>
      </c>
      <c r="I30" t="s">
        <v>500</v>
      </c>
    </row>
    <row r="31" spans="1:9" x14ac:dyDescent="0.3">
      <c r="A31">
        <v>410313462</v>
      </c>
      <c r="B31" t="s">
        <v>492</v>
      </c>
      <c r="C31" t="s">
        <v>501</v>
      </c>
      <c r="D31" t="s">
        <v>506</v>
      </c>
      <c r="E31" t="s">
        <v>503</v>
      </c>
      <c r="F31" t="s">
        <v>500</v>
      </c>
      <c r="G31" t="s">
        <v>485</v>
      </c>
      <c r="H31" t="s">
        <v>485</v>
      </c>
      <c r="I31" t="s">
        <v>485</v>
      </c>
    </row>
    <row r="32" spans="1:9" x14ac:dyDescent="0.3">
      <c r="A32">
        <v>410313564</v>
      </c>
      <c r="B32" t="s">
        <v>492</v>
      </c>
      <c r="C32" t="s">
        <v>501</v>
      </c>
      <c r="D32" t="s">
        <v>502</v>
      </c>
      <c r="E32" t="s">
        <v>503</v>
      </c>
      <c r="F32" t="s">
        <v>480</v>
      </c>
      <c r="G32" t="s">
        <v>480</v>
      </c>
      <c r="H32" t="s">
        <v>480</v>
      </c>
      <c r="I32" t="s">
        <v>480</v>
      </c>
    </row>
    <row r="33" spans="1:9" x14ac:dyDescent="0.3">
      <c r="A33">
        <v>410313662</v>
      </c>
      <c r="B33" t="s">
        <v>492</v>
      </c>
      <c r="C33" t="s">
        <v>501</v>
      </c>
      <c r="D33" t="s">
        <v>506</v>
      </c>
      <c r="E33" t="s">
        <v>503</v>
      </c>
      <c r="F33" t="s">
        <v>500</v>
      </c>
      <c r="G33" t="s">
        <v>485</v>
      </c>
      <c r="H33" t="s">
        <v>485</v>
      </c>
      <c r="I33" t="s">
        <v>485</v>
      </c>
    </row>
    <row r="34" spans="1:9" x14ac:dyDescent="0.3">
      <c r="A34">
        <v>410313664</v>
      </c>
      <c r="B34" t="s">
        <v>492</v>
      </c>
      <c r="C34" t="s">
        <v>501</v>
      </c>
      <c r="D34" t="s">
        <v>502</v>
      </c>
      <c r="E34" t="s">
        <v>503</v>
      </c>
      <c r="F34" t="s">
        <v>480</v>
      </c>
      <c r="G34" t="s">
        <v>480</v>
      </c>
      <c r="H34" t="s">
        <v>480</v>
      </c>
      <c r="I34" t="s">
        <v>480</v>
      </c>
    </row>
    <row r="35" spans="1:9" x14ac:dyDescent="0.3">
      <c r="A35">
        <v>410340057</v>
      </c>
      <c r="B35" t="s">
        <v>492</v>
      </c>
      <c r="C35" t="s">
        <v>505</v>
      </c>
      <c r="D35" t="s">
        <v>507</v>
      </c>
      <c r="E35" t="s">
        <v>503</v>
      </c>
      <c r="F35" t="s">
        <v>500</v>
      </c>
      <c r="G35" t="s">
        <v>500</v>
      </c>
      <c r="H35" t="s">
        <v>500</v>
      </c>
      <c r="I35" t="s">
        <v>500</v>
      </c>
    </row>
    <row r="36" spans="1:9" x14ac:dyDescent="0.3">
      <c r="A36">
        <v>410025605</v>
      </c>
      <c r="B36" t="s">
        <v>476</v>
      </c>
      <c r="C36" t="s">
        <v>477</v>
      </c>
      <c r="D36" t="s">
        <v>486</v>
      </c>
      <c r="E36" t="s">
        <v>508</v>
      </c>
      <c r="F36" t="s">
        <v>480</v>
      </c>
      <c r="G36" t="s">
        <v>480</v>
      </c>
      <c r="H36" t="s">
        <v>480</v>
      </c>
      <c r="I36" t="s">
        <v>487</v>
      </c>
    </row>
    <row r="37" spans="1:9" x14ac:dyDescent="0.3">
      <c r="A37">
        <v>410025606</v>
      </c>
      <c r="B37" t="s">
        <v>476</v>
      </c>
      <c r="C37" t="s">
        <v>477</v>
      </c>
      <c r="D37" t="s">
        <v>486</v>
      </c>
      <c r="E37" t="s">
        <v>508</v>
      </c>
      <c r="F37" t="s">
        <v>500</v>
      </c>
      <c r="G37" t="s">
        <v>489</v>
      </c>
      <c r="H37" t="s">
        <v>489</v>
      </c>
      <c r="I37" t="s">
        <v>487</v>
      </c>
    </row>
    <row r="38" spans="1:9" x14ac:dyDescent="0.3">
      <c r="A38">
        <v>410026401</v>
      </c>
      <c r="B38" t="s">
        <v>476</v>
      </c>
      <c r="C38" t="s">
        <v>481</v>
      </c>
      <c r="D38" t="s">
        <v>490</v>
      </c>
      <c r="E38" t="s">
        <v>508</v>
      </c>
      <c r="F38" t="s">
        <v>480</v>
      </c>
      <c r="G38" t="s">
        <v>500</v>
      </c>
      <c r="H38" t="s">
        <v>500</v>
      </c>
      <c r="I38" t="s">
        <v>487</v>
      </c>
    </row>
    <row r="39" spans="1:9" x14ac:dyDescent="0.3">
      <c r="A39">
        <v>410080004</v>
      </c>
      <c r="B39" t="s">
        <v>476</v>
      </c>
      <c r="C39" t="s">
        <v>477</v>
      </c>
      <c r="D39" t="s">
        <v>491</v>
      </c>
      <c r="E39" t="s">
        <v>508</v>
      </c>
      <c r="F39" t="s">
        <v>500</v>
      </c>
      <c r="G39" t="s">
        <v>480</v>
      </c>
      <c r="H39" t="s">
        <v>480</v>
      </c>
      <c r="I39" t="s">
        <v>480</v>
      </c>
    </row>
    <row r="40" spans="1:9" x14ac:dyDescent="0.3">
      <c r="A40">
        <v>410080086</v>
      </c>
      <c r="B40" t="s">
        <v>476</v>
      </c>
      <c r="C40" t="s">
        <v>477</v>
      </c>
      <c r="D40" t="s">
        <v>491</v>
      </c>
      <c r="E40" t="s">
        <v>508</v>
      </c>
      <c r="F40" t="s">
        <v>500</v>
      </c>
      <c r="G40" t="s">
        <v>500</v>
      </c>
      <c r="H40" t="s">
        <v>500</v>
      </c>
      <c r="I40" t="s">
        <v>500</v>
      </c>
    </row>
    <row r="41" spans="1:9" x14ac:dyDescent="0.3">
      <c r="A41">
        <v>415025624</v>
      </c>
      <c r="B41" t="s">
        <v>476</v>
      </c>
      <c r="C41" t="s">
        <v>477</v>
      </c>
      <c r="D41" t="s">
        <v>486</v>
      </c>
      <c r="E41" t="s">
        <v>508</v>
      </c>
      <c r="F41" t="s">
        <v>480</v>
      </c>
      <c r="G41" t="s">
        <v>500</v>
      </c>
      <c r="H41" t="s">
        <v>500</v>
      </c>
      <c r="I41" t="s">
        <v>487</v>
      </c>
    </row>
    <row r="42" spans="1:9" x14ac:dyDescent="0.3">
      <c r="A42">
        <v>415026424</v>
      </c>
      <c r="B42" t="s">
        <v>476</v>
      </c>
      <c r="C42" t="s">
        <v>481</v>
      </c>
      <c r="D42" t="s">
        <v>490</v>
      </c>
      <c r="E42" t="s">
        <v>508</v>
      </c>
      <c r="F42" t="s">
        <v>489</v>
      </c>
      <c r="G42" t="s">
        <v>489</v>
      </c>
      <c r="H42" t="s">
        <v>489</v>
      </c>
      <c r="I42" t="s">
        <v>487</v>
      </c>
    </row>
    <row r="43" spans="1:9" x14ac:dyDescent="0.3">
      <c r="A43">
        <v>410040457</v>
      </c>
      <c r="B43" t="s">
        <v>492</v>
      </c>
      <c r="C43" t="s">
        <v>493</v>
      </c>
      <c r="D43" t="s">
        <v>494</v>
      </c>
      <c r="E43" t="s">
        <v>508</v>
      </c>
      <c r="F43" t="s">
        <v>480</v>
      </c>
      <c r="G43" t="s">
        <v>500</v>
      </c>
      <c r="H43" t="s">
        <v>500</v>
      </c>
      <c r="I43" t="s">
        <v>500</v>
      </c>
    </row>
    <row r="44" spans="1:9" x14ac:dyDescent="0.3">
      <c r="A44">
        <v>410040657</v>
      </c>
      <c r="B44" t="s">
        <v>492</v>
      </c>
      <c r="C44" t="s">
        <v>493</v>
      </c>
      <c r="D44" t="s">
        <v>494</v>
      </c>
      <c r="E44" t="s">
        <v>508</v>
      </c>
      <c r="F44" t="s">
        <v>480</v>
      </c>
      <c r="G44" t="s">
        <v>485</v>
      </c>
      <c r="H44" t="s">
        <v>485</v>
      </c>
      <c r="I44" t="s">
        <v>485</v>
      </c>
    </row>
    <row r="45" spans="1:9" x14ac:dyDescent="0.3">
      <c r="A45">
        <v>410041557</v>
      </c>
      <c r="B45" t="s">
        <v>492</v>
      </c>
      <c r="C45" t="s">
        <v>493</v>
      </c>
      <c r="D45" t="s">
        <v>494</v>
      </c>
      <c r="E45" t="s">
        <v>508</v>
      </c>
      <c r="F45" t="s">
        <v>480</v>
      </c>
      <c r="G45" t="s">
        <v>480</v>
      </c>
      <c r="H45" t="s">
        <v>480</v>
      </c>
      <c r="I45" t="s">
        <v>480</v>
      </c>
    </row>
    <row r="46" spans="1:9" x14ac:dyDescent="0.3">
      <c r="A46">
        <v>410043057</v>
      </c>
      <c r="B46" t="s">
        <v>492</v>
      </c>
      <c r="C46" t="s">
        <v>493</v>
      </c>
      <c r="D46" t="s">
        <v>494</v>
      </c>
      <c r="E46" t="s">
        <v>508</v>
      </c>
      <c r="F46" t="s">
        <v>500</v>
      </c>
      <c r="G46" t="s">
        <v>500</v>
      </c>
      <c r="H46" t="s">
        <v>500</v>
      </c>
      <c r="I46" t="s">
        <v>500</v>
      </c>
    </row>
    <row r="47" spans="1:9" x14ac:dyDescent="0.3">
      <c r="A47">
        <v>410100105</v>
      </c>
      <c r="B47" t="s">
        <v>492</v>
      </c>
      <c r="C47" t="s">
        <v>509</v>
      </c>
      <c r="D47" t="s">
        <v>510</v>
      </c>
      <c r="E47" t="s">
        <v>508</v>
      </c>
      <c r="F47" t="s">
        <v>500</v>
      </c>
      <c r="G47" t="s">
        <v>500</v>
      </c>
      <c r="H47" t="s">
        <v>500</v>
      </c>
      <c r="I47" t="s">
        <v>487</v>
      </c>
    </row>
    <row r="48" spans="1:9" x14ac:dyDescent="0.3">
      <c r="A48">
        <v>410121107</v>
      </c>
      <c r="B48" t="s">
        <v>492</v>
      </c>
      <c r="C48" t="s">
        <v>511</v>
      </c>
      <c r="D48" t="s">
        <v>511</v>
      </c>
      <c r="E48" t="s">
        <v>508</v>
      </c>
      <c r="F48" t="s">
        <v>500</v>
      </c>
      <c r="G48" t="s">
        <v>485</v>
      </c>
      <c r="H48" t="s">
        <v>487</v>
      </c>
      <c r="I48" t="s">
        <v>487</v>
      </c>
    </row>
    <row r="49" spans="1:9" x14ac:dyDescent="0.3">
      <c r="A49">
        <v>410121207</v>
      </c>
      <c r="B49" t="s">
        <v>492</v>
      </c>
      <c r="C49" t="s">
        <v>511</v>
      </c>
      <c r="D49" t="s">
        <v>511</v>
      </c>
      <c r="E49" t="s">
        <v>508</v>
      </c>
      <c r="F49" t="s">
        <v>500</v>
      </c>
      <c r="G49" t="s">
        <v>485</v>
      </c>
      <c r="H49" t="s">
        <v>487</v>
      </c>
      <c r="I49" t="s">
        <v>487</v>
      </c>
    </row>
    <row r="50" spans="1:9" x14ac:dyDescent="0.3">
      <c r="A50">
        <v>410121307</v>
      </c>
      <c r="B50" t="s">
        <v>492</v>
      </c>
      <c r="C50" t="s">
        <v>511</v>
      </c>
      <c r="D50" t="s">
        <v>511</v>
      </c>
      <c r="E50" t="s">
        <v>508</v>
      </c>
      <c r="F50" t="s">
        <v>500</v>
      </c>
      <c r="G50" t="s">
        <v>485</v>
      </c>
      <c r="H50" t="s">
        <v>487</v>
      </c>
      <c r="I50" t="s">
        <v>487</v>
      </c>
    </row>
    <row r="51" spans="1:9" x14ac:dyDescent="0.3">
      <c r="A51">
        <v>410250935</v>
      </c>
      <c r="B51" t="s">
        <v>492</v>
      </c>
      <c r="C51" t="s">
        <v>498</v>
      </c>
      <c r="D51" t="s">
        <v>499</v>
      </c>
      <c r="E51" t="s">
        <v>508</v>
      </c>
      <c r="F51" t="s">
        <v>489</v>
      </c>
      <c r="G51" t="s">
        <v>500</v>
      </c>
      <c r="H51" t="s">
        <v>500</v>
      </c>
      <c r="I51" t="s">
        <v>500</v>
      </c>
    </row>
    <row r="52" spans="1:9" x14ac:dyDescent="0.3">
      <c r="A52">
        <v>410251735</v>
      </c>
      <c r="B52" t="s">
        <v>492</v>
      </c>
      <c r="C52" t="s">
        <v>498</v>
      </c>
      <c r="D52" t="s">
        <v>499</v>
      </c>
      <c r="E52" t="s">
        <v>508</v>
      </c>
      <c r="F52" t="s">
        <v>500</v>
      </c>
      <c r="G52" t="s">
        <v>500</v>
      </c>
      <c r="H52" t="s">
        <v>500</v>
      </c>
      <c r="I52" t="s">
        <v>500</v>
      </c>
    </row>
    <row r="53" spans="1:9" x14ac:dyDescent="0.3">
      <c r="A53">
        <v>410251835</v>
      </c>
      <c r="B53" t="s">
        <v>492</v>
      </c>
      <c r="C53" t="s">
        <v>498</v>
      </c>
      <c r="D53" t="s">
        <v>499</v>
      </c>
      <c r="E53" t="s">
        <v>508</v>
      </c>
      <c r="F53" t="s">
        <v>489</v>
      </c>
      <c r="G53" t="s">
        <v>500</v>
      </c>
      <c r="H53" t="s">
        <v>500</v>
      </c>
      <c r="I53" t="s">
        <v>500</v>
      </c>
    </row>
    <row r="54" spans="1:9" x14ac:dyDescent="0.3">
      <c r="A54">
        <v>410313562</v>
      </c>
      <c r="B54" t="s">
        <v>492</v>
      </c>
      <c r="C54" t="s">
        <v>501</v>
      </c>
      <c r="D54" t="s">
        <v>506</v>
      </c>
      <c r="E54" t="s">
        <v>508</v>
      </c>
      <c r="F54" t="s">
        <v>500</v>
      </c>
      <c r="G54" t="s">
        <v>485</v>
      </c>
      <c r="H54" t="s">
        <v>485</v>
      </c>
      <c r="I54" t="s">
        <v>485</v>
      </c>
    </row>
    <row r="55" spans="1:9" x14ac:dyDescent="0.3">
      <c r="A55">
        <v>410316664</v>
      </c>
      <c r="B55" t="s">
        <v>492</v>
      </c>
      <c r="C55" t="s">
        <v>501</v>
      </c>
      <c r="D55" t="s">
        <v>502</v>
      </c>
      <c r="E55" t="s">
        <v>508</v>
      </c>
      <c r="F55" t="s">
        <v>500</v>
      </c>
      <c r="G55" t="s">
        <v>489</v>
      </c>
      <c r="H55" t="s">
        <v>489</v>
      </c>
      <c r="I55" t="s">
        <v>489</v>
      </c>
    </row>
    <row r="56" spans="1:9" x14ac:dyDescent="0.3">
      <c r="A56">
        <v>410425815</v>
      </c>
      <c r="B56" t="s">
        <v>492</v>
      </c>
      <c r="C56" t="s">
        <v>505</v>
      </c>
      <c r="D56" t="s">
        <v>512</v>
      </c>
      <c r="E56" t="s">
        <v>508</v>
      </c>
      <c r="F56" t="s">
        <v>500</v>
      </c>
      <c r="G56" t="s">
        <v>489</v>
      </c>
      <c r="H56" t="s">
        <v>489</v>
      </c>
      <c r="I56" t="s">
        <v>489</v>
      </c>
    </row>
    <row r="57" spans="1:9" x14ac:dyDescent="0.3">
      <c r="A57">
        <v>410426015</v>
      </c>
      <c r="B57" t="s">
        <v>492</v>
      </c>
      <c r="C57" t="s">
        <v>505</v>
      </c>
      <c r="D57" t="s">
        <v>512</v>
      </c>
      <c r="E57" t="s">
        <v>508</v>
      </c>
      <c r="F57" t="s">
        <v>500</v>
      </c>
      <c r="G57" t="s">
        <v>489</v>
      </c>
      <c r="H57" t="s">
        <v>489</v>
      </c>
      <c r="I57" t="s">
        <v>489</v>
      </c>
    </row>
    <row r="58" spans="1:9" x14ac:dyDescent="0.3">
      <c r="A58">
        <v>410075564</v>
      </c>
      <c r="B58" t="s">
        <v>492</v>
      </c>
      <c r="C58" t="s">
        <v>496</v>
      </c>
      <c r="D58" t="s">
        <v>513</v>
      </c>
      <c r="E58" t="s">
        <v>514</v>
      </c>
      <c r="F58" t="s">
        <v>500</v>
      </c>
      <c r="G58" t="s">
        <v>500</v>
      </c>
      <c r="H58" t="s">
        <v>500</v>
      </c>
      <c r="I58" t="s">
        <v>487</v>
      </c>
    </row>
    <row r="59" spans="1:9" x14ac:dyDescent="0.3">
      <c r="A59">
        <v>410312064</v>
      </c>
      <c r="B59" t="s">
        <v>492</v>
      </c>
      <c r="C59" t="s">
        <v>501</v>
      </c>
      <c r="D59" t="s">
        <v>515</v>
      </c>
      <c r="E59" t="s">
        <v>514</v>
      </c>
      <c r="F59" t="s">
        <v>489</v>
      </c>
      <c r="G59" t="s">
        <v>485</v>
      </c>
      <c r="H59" t="s">
        <v>485</v>
      </c>
      <c r="I59" t="s">
        <v>487</v>
      </c>
    </row>
    <row r="60" spans="1:9" x14ac:dyDescent="0.3">
      <c r="A60">
        <v>410312164</v>
      </c>
      <c r="B60" t="s">
        <v>492</v>
      </c>
      <c r="C60" t="s">
        <v>501</v>
      </c>
      <c r="D60" t="s">
        <v>515</v>
      </c>
      <c r="E60" t="s">
        <v>514</v>
      </c>
      <c r="F60" t="s">
        <v>489</v>
      </c>
      <c r="G60" t="s">
        <v>485</v>
      </c>
      <c r="H60" t="s">
        <v>485</v>
      </c>
      <c r="I60" t="s">
        <v>487</v>
      </c>
    </row>
    <row r="61" spans="1:9" x14ac:dyDescent="0.3">
      <c r="A61">
        <v>410313481</v>
      </c>
      <c r="B61" t="s">
        <v>492</v>
      </c>
      <c r="C61" t="s">
        <v>501</v>
      </c>
      <c r="D61" t="s">
        <v>516</v>
      </c>
      <c r="E61" t="s">
        <v>514</v>
      </c>
      <c r="F61" t="s">
        <v>500</v>
      </c>
      <c r="G61" t="s">
        <v>500</v>
      </c>
      <c r="H61" t="s">
        <v>500</v>
      </c>
      <c r="I61" t="s">
        <v>500</v>
      </c>
    </row>
    <row r="62" spans="1:9" x14ac:dyDescent="0.3">
      <c r="A62">
        <v>410313499</v>
      </c>
      <c r="B62" t="s">
        <v>492</v>
      </c>
      <c r="C62" t="s">
        <v>501</v>
      </c>
      <c r="D62" t="s">
        <v>502</v>
      </c>
      <c r="E62" t="s">
        <v>514</v>
      </c>
      <c r="F62" t="s">
        <v>480</v>
      </c>
      <c r="G62" t="s">
        <v>489</v>
      </c>
      <c r="H62" t="s">
        <v>489</v>
      </c>
      <c r="I62" t="s">
        <v>489</v>
      </c>
    </row>
    <row r="63" spans="1:9" x14ac:dyDescent="0.3">
      <c r="A63">
        <v>410316599</v>
      </c>
      <c r="B63" t="s">
        <v>492</v>
      </c>
      <c r="C63" t="s">
        <v>501</v>
      </c>
      <c r="D63" t="s">
        <v>502</v>
      </c>
      <c r="E63" t="s">
        <v>514</v>
      </c>
      <c r="F63" t="s">
        <v>489</v>
      </c>
      <c r="G63" t="s">
        <v>489</v>
      </c>
      <c r="H63" t="s">
        <v>489</v>
      </c>
      <c r="I63" t="s">
        <v>489</v>
      </c>
    </row>
    <row r="64" spans="1:9" x14ac:dyDescent="0.3">
      <c r="A64">
        <v>410342157</v>
      </c>
      <c r="B64" t="s">
        <v>492</v>
      </c>
      <c r="C64" t="s">
        <v>505</v>
      </c>
      <c r="D64" t="s">
        <v>507</v>
      </c>
      <c r="E64" t="s">
        <v>514</v>
      </c>
      <c r="F64" t="s">
        <v>489</v>
      </c>
      <c r="G64" t="s">
        <v>489</v>
      </c>
      <c r="H64" t="s">
        <v>489</v>
      </c>
      <c r="I64" t="s">
        <v>489</v>
      </c>
    </row>
    <row r="65" spans="1:9" x14ac:dyDescent="0.3">
      <c r="A65">
        <v>410425715</v>
      </c>
      <c r="B65" t="s">
        <v>492</v>
      </c>
      <c r="C65" t="s">
        <v>505</v>
      </c>
      <c r="D65" t="s">
        <v>512</v>
      </c>
      <c r="E65" t="s">
        <v>514</v>
      </c>
      <c r="F65" t="s">
        <v>500</v>
      </c>
      <c r="G65" t="s">
        <v>500</v>
      </c>
      <c r="H65" t="s">
        <v>500</v>
      </c>
      <c r="I65" t="s">
        <v>500</v>
      </c>
    </row>
    <row r="66" spans="1:9" x14ac:dyDescent="0.3">
      <c r="A66">
        <v>410430225</v>
      </c>
      <c r="B66" t="s">
        <v>492</v>
      </c>
      <c r="C66" t="s">
        <v>505</v>
      </c>
      <c r="D66" t="s">
        <v>517</v>
      </c>
      <c r="E66" t="s">
        <v>514</v>
      </c>
      <c r="F66" t="s">
        <v>500</v>
      </c>
      <c r="G66" t="s">
        <v>500</v>
      </c>
      <c r="H66" t="s">
        <v>500</v>
      </c>
      <c r="I66" t="s">
        <v>500</v>
      </c>
    </row>
    <row r="67" spans="1:9" x14ac:dyDescent="0.3">
      <c r="A67">
        <v>410436125</v>
      </c>
      <c r="B67" t="s">
        <v>492</v>
      </c>
      <c r="C67" t="s">
        <v>505</v>
      </c>
      <c r="D67" t="s">
        <v>517</v>
      </c>
      <c r="E67" t="s">
        <v>514</v>
      </c>
      <c r="F67" t="s">
        <v>500</v>
      </c>
      <c r="G67" t="s">
        <v>500</v>
      </c>
      <c r="H67" t="s">
        <v>500</v>
      </c>
      <c r="I67" t="s">
        <v>500</v>
      </c>
    </row>
    <row r="68" spans="1:9" x14ac:dyDescent="0.3">
      <c r="A68">
        <v>410251135</v>
      </c>
      <c r="B68" t="s">
        <v>492</v>
      </c>
      <c r="C68" t="s">
        <v>498</v>
      </c>
      <c r="D68" t="s">
        <v>499</v>
      </c>
      <c r="E68" t="s">
        <v>518</v>
      </c>
      <c r="F68" t="s">
        <v>489</v>
      </c>
      <c r="G68" t="s">
        <v>489</v>
      </c>
      <c r="H68" t="s">
        <v>489</v>
      </c>
      <c r="I68" t="s">
        <v>489</v>
      </c>
    </row>
    <row r="69" spans="1:9" x14ac:dyDescent="0.3">
      <c r="A69">
        <v>410014749</v>
      </c>
      <c r="B69" t="s">
        <v>476</v>
      </c>
      <c r="C69" t="s">
        <v>481</v>
      </c>
      <c r="D69" t="s">
        <v>482</v>
      </c>
      <c r="E69" t="s">
        <v>151</v>
      </c>
      <c r="F69" t="s">
        <v>487</v>
      </c>
      <c r="G69" t="s">
        <v>489</v>
      </c>
      <c r="H69" t="s">
        <v>489</v>
      </c>
      <c r="I69" t="s">
        <v>489</v>
      </c>
    </row>
    <row r="70" spans="1:9" x14ac:dyDescent="0.3">
      <c r="A70">
        <v>410015602</v>
      </c>
      <c r="B70" t="s">
        <v>476</v>
      </c>
      <c r="C70" t="s">
        <v>477</v>
      </c>
      <c r="D70" t="s">
        <v>478</v>
      </c>
      <c r="E70" t="s">
        <v>151</v>
      </c>
      <c r="F70" t="s">
        <v>487</v>
      </c>
      <c r="G70" t="s">
        <v>489</v>
      </c>
      <c r="H70" t="s">
        <v>489</v>
      </c>
      <c r="I70" t="s">
        <v>489</v>
      </c>
    </row>
    <row r="71" spans="1:9" x14ac:dyDescent="0.3">
      <c r="A71">
        <v>410040647</v>
      </c>
      <c r="B71" t="s">
        <v>492</v>
      </c>
      <c r="C71" t="s">
        <v>493</v>
      </c>
      <c r="D71" t="s">
        <v>494</v>
      </c>
      <c r="E71" t="s">
        <v>151</v>
      </c>
      <c r="F71" t="s">
        <v>487</v>
      </c>
      <c r="G71" t="s">
        <v>485</v>
      </c>
      <c r="H71" t="s">
        <v>485</v>
      </c>
      <c r="I71" t="s">
        <v>487</v>
      </c>
    </row>
    <row r="72" spans="1:9" x14ac:dyDescent="0.3">
      <c r="A72">
        <v>419362187</v>
      </c>
      <c r="B72" t="s">
        <v>492</v>
      </c>
      <c r="C72" t="s">
        <v>498</v>
      </c>
      <c r="D72" t="s">
        <v>519</v>
      </c>
      <c r="E72" t="s">
        <v>151</v>
      </c>
      <c r="F72" t="s">
        <v>487</v>
      </c>
      <c r="G72" t="s">
        <v>487</v>
      </c>
      <c r="H72" t="s">
        <v>487</v>
      </c>
      <c r="I72" t="s">
        <v>487</v>
      </c>
    </row>
    <row r="73" spans="1:9" x14ac:dyDescent="0.3">
      <c r="A73">
        <v>410015618</v>
      </c>
      <c r="B73" t="s">
        <v>476</v>
      </c>
      <c r="C73" t="s">
        <v>477</v>
      </c>
      <c r="D73" t="s">
        <v>488</v>
      </c>
      <c r="E73" t="s">
        <v>151</v>
      </c>
      <c r="F73" t="s">
        <v>480</v>
      </c>
      <c r="G73" t="s">
        <v>500</v>
      </c>
      <c r="H73" t="s">
        <v>500</v>
      </c>
      <c r="I73" t="s">
        <v>500</v>
      </c>
    </row>
    <row r="74" spans="1:9" x14ac:dyDescent="0.3">
      <c r="A74">
        <v>410026208</v>
      </c>
      <c r="B74" t="s">
        <v>476</v>
      </c>
      <c r="C74" t="s">
        <v>483</v>
      </c>
      <c r="D74" t="s">
        <v>504</v>
      </c>
      <c r="E74" t="s">
        <v>151</v>
      </c>
      <c r="F74" t="s">
        <v>480</v>
      </c>
      <c r="G74" t="s">
        <v>489</v>
      </c>
      <c r="H74" t="s">
        <v>489</v>
      </c>
      <c r="I74" t="s">
        <v>489</v>
      </c>
    </row>
    <row r="75" spans="1:9" x14ac:dyDescent="0.3">
      <c r="A75">
        <v>410026415</v>
      </c>
      <c r="B75" t="s">
        <v>476</v>
      </c>
      <c r="C75" t="s">
        <v>481</v>
      </c>
      <c r="D75" t="s">
        <v>490</v>
      </c>
      <c r="E75" t="s">
        <v>151</v>
      </c>
      <c r="F75" t="s">
        <v>489</v>
      </c>
      <c r="G75" t="s">
        <v>489</v>
      </c>
      <c r="H75" t="s">
        <v>489</v>
      </c>
      <c r="I75" t="s">
        <v>487</v>
      </c>
    </row>
    <row r="76" spans="1:9" x14ac:dyDescent="0.3">
      <c r="A76">
        <v>410030002</v>
      </c>
      <c r="B76" t="s">
        <v>492</v>
      </c>
      <c r="C76" t="s">
        <v>520</v>
      </c>
      <c r="D76" t="s">
        <v>521</v>
      </c>
      <c r="E76" t="s">
        <v>151</v>
      </c>
      <c r="F76" t="s">
        <v>500</v>
      </c>
      <c r="G76" t="s">
        <v>489</v>
      </c>
      <c r="H76" t="s">
        <v>489</v>
      </c>
      <c r="I76" t="s">
        <v>489</v>
      </c>
    </row>
    <row r="77" spans="1:9" x14ac:dyDescent="0.3">
      <c r="A77">
        <v>410030004</v>
      </c>
      <c r="B77" t="s">
        <v>492</v>
      </c>
      <c r="C77" t="s">
        <v>520</v>
      </c>
      <c r="D77" t="s">
        <v>521</v>
      </c>
      <c r="E77" t="s">
        <v>151</v>
      </c>
      <c r="F77" t="s">
        <v>500</v>
      </c>
      <c r="G77" t="s">
        <v>500</v>
      </c>
      <c r="H77" t="s">
        <v>500</v>
      </c>
      <c r="I77" t="s">
        <v>500</v>
      </c>
    </row>
    <row r="78" spans="1:9" x14ac:dyDescent="0.3">
      <c r="A78">
        <v>410030202</v>
      </c>
      <c r="B78" t="s">
        <v>492</v>
      </c>
      <c r="C78" t="s">
        <v>520</v>
      </c>
      <c r="D78" t="s">
        <v>521</v>
      </c>
      <c r="E78" t="s">
        <v>151</v>
      </c>
      <c r="F78" t="s">
        <v>500</v>
      </c>
      <c r="G78" t="s">
        <v>489</v>
      </c>
      <c r="H78" t="s">
        <v>489</v>
      </c>
      <c r="I78" t="s">
        <v>489</v>
      </c>
    </row>
    <row r="79" spans="1:9" x14ac:dyDescent="0.3">
      <c r="A79">
        <v>410030204</v>
      </c>
      <c r="B79" t="s">
        <v>492</v>
      </c>
      <c r="C79" t="s">
        <v>520</v>
      </c>
      <c r="D79" t="s">
        <v>521</v>
      </c>
      <c r="E79" t="s">
        <v>151</v>
      </c>
      <c r="F79" t="s">
        <v>500</v>
      </c>
      <c r="G79" t="s">
        <v>489</v>
      </c>
      <c r="H79" t="s">
        <v>489</v>
      </c>
      <c r="I79" t="s">
        <v>489</v>
      </c>
    </row>
    <row r="80" spans="1:9" x14ac:dyDescent="0.3">
      <c r="A80">
        <v>410030602</v>
      </c>
      <c r="B80" t="s">
        <v>492</v>
      </c>
      <c r="C80" t="s">
        <v>520</v>
      </c>
      <c r="D80" t="s">
        <v>521</v>
      </c>
      <c r="E80" t="s">
        <v>151</v>
      </c>
      <c r="F80" t="s">
        <v>500</v>
      </c>
      <c r="G80" t="s">
        <v>489</v>
      </c>
      <c r="H80" t="s">
        <v>489</v>
      </c>
      <c r="I80" t="s">
        <v>489</v>
      </c>
    </row>
    <row r="81" spans="1:9" x14ac:dyDescent="0.3">
      <c r="A81">
        <v>410030604</v>
      </c>
      <c r="B81" t="s">
        <v>492</v>
      </c>
      <c r="C81" t="s">
        <v>520</v>
      </c>
      <c r="D81" t="s">
        <v>521</v>
      </c>
      <c r="E81" t="s">
        <v>151</v>
      </c>
      <c r="F81" t="s">
        <v>500</v>
      </c>
      <c r="G81" t="s">
        <v>489</v>
      </c>
      <c r="H81" t="s">
        <v>489</v>
      </c>
      <c r="I81" t="s">
        <v>489</v>
      </c>
    </row>
    <row r="82" spans="1:9" x14ac:dyDescent="0.3">
      <c r="A82">
        <v>410030702</v>
      </c>
      <c r="B82" t="s">
        <v>492</v>
      </c>
      <c r="C82" t="s">
        <v>520</v>
      </c>
      <c r="D82" t="s">
        <v>521</v>
      </c>
      <c r="E82" t="s">
        <v>151</v>
      </c>
      <c r="F82" t="s">
        <v>500</v>
      </c>
      <c r="G82" t="s">
        <v>489</v>
      </c>
      <c r="H82" t="s">
        <v>489</v>
      </c>
      <c r="I82" t="s">
        <v>489</v>
      </c>
    </row>
    <row r="83" spans="1:9" x14ac:dyDescent="0.3">
      <c r="A83">
        <v>410040147</v>
      </c>
      <c r="B83" t="s">
        <v>492</v>
      </c>
      <c r="C83" t="s">
        <v>493</v>
      </c>
      <c r="D83" t="s">
        <v>494</v>
      </c>
      <c r="E83" t="s">
        <v>151</v>
      </c>
      <c r="F83" t="s">
        <v>489</v>
      </c>
      <c r="G83" t="s">
        <v>489</v>
      </c>
      <c r="H83" t="s">
        <v>489</v>
      </c>
      <c r="I83" t="s">
        <v>489</v>
      </c>
    </row>
    <row r="84" spans="1:9" x14ac:dyDescent="0.3">
      <c r="A84">
        <v>410040247</v>
      </c>
      <c r="B84" t="s">
        <v>492</v>
      </c>
      <c r="C84" t="s">
        <v>493</v>
      </c>
      <c r="D84" t="s">
        <v>495</v>
      </c>
      <c r="E84" t="s">
        <v>151</v>
      </c>
      <c r="F84" t="s">
        <v>489</v>
      </c>
      <c r="G84" t="s">
        <v>489</v>
      </c>
      <c r="H84" t="s">
        <v>489</v>
      </c>
      <c r="I84" t="s">
        <v>489</v>
      </c>
    </row>
    <row r="85" spans="1:9" x14ac:dyDescent="0.3">
      <c r="A85">
        <v>410040557</v>
      </c>
      <c r="B85" t="s">
        <v>492</v>
      </c>
      <c r="C85" t="s">
        <v>493</v>
      </c>
      <c r="D85" t="s">
        <v>495</v>
      </c>
      <c r="E85" t="s">
        <v>151</v>
      </c>
      <c r="F85" t="s">
        <v>500</v>
      </c>
      <c r="G85" t="s">
        <v>500</v>
      </c>
      <c r="H85" t="s">
        <v>500</v>
      </c>
      <c r="I85" t="s">
        <v>500</v>
      </c>
    </row>
    <row r="86" spans="1:9" x14ac:dyDescent="0.3">
      <c r="A86">
        <v>410040857</v>
      </c>
      <c r="B86" t="s">
        <v>492</v>
      </c>
      <c r="C86" t="s">
        <v>493</v>
      </c>
      <c r="D86" t="s">
        <v>494</v>
      </c>
      <c r="E86" t="s">
        <v>151</v>
      </c>
      <c r="F86" t="s">
        <v>480</v>
      </c>
      <c r="G86" t="s">
        <v>487</v>
      </c>
      <c r="H86" t="s">
        <v>487</v>
      </c>
      <c r="I86" t="s">
        <v>487</v>
      </c>
    </row>
    <row r="87" spans="1:9" x14ac:dyDescent="0.3">
      <c r="A87">
        <v>410100205</v>
      </c>
      <c r="B87" t="s">
        <v>492</v>
      </c>
      <c r="C87" t="s">
        <v>509</v>
      </c>
      <c r="D87" t="s">
        <v>510</v>
      </c>
      <c r="E87" t="s">
        <v>151</v>
      </c>
      <c r="F87" t="s">
        <v>500</v>
      </c>
      <c r="G87" t="s">
        <v>500</v>
      </c>
      <c r="H87" t="s">
        <v>500</v>
      </c>
      <c r="I87" t="s">
        <v>487</v>
      </c>
    </row>
    <row r="88" spans="1:9" x14ac:dyDescent="0.3">
      <c r="A88">
        <v>410100305</v>
      </c>
      <c r="B88" t="s">
        <v>492</v>
      </c>
      <c r="C88" t="s">
        <v>509</v>
      </c>
      <c r="D88" t="s">
        <v>510</v>
      </c>
      <c r="E88" t="s">
        <v>151</v>
      </c>
      <c r="F88" t="s">
        <v>500</v>
      </c>
      <c r="G88" t="s">
        <v>500</v>
      </c>
      <c r="H88" t="s">
        <v>500</v>
      </c>
      <c r="I88" t="s">
        <v>487</v>
      </c>
    </row>
    <row r="89" spans="1:9" x14ac:dyDescent="0.3">
      <c r="A89">
        <v>410250103</v>
      </c>
      <c r="B89" t="s">
        <v>492</v>
      </c>
      <c r="C89" t="s">
        <v>498</v>
      </c>
      <c r="D89" t="s">
        <v>499</v>
      </c>
      <c r="E89" t="s">
        <v>151</v>
      </c>
      <c r="F89" t="s">
        <v>489</v>
      </c>
      <c r="G89" t="s">
        <v>489</v>
      </c>
      <c r="H89" t="s">
        <v>489</v>
      </c>
      <c r="I89" t="s">
        <v>489</v>
      </c>
    </row>
    <row r="90" spans="1:9" x14ac:dyDescent="0.3">
      <c r="A90">
        <v>410251203</v>
      </c>
      <c r="B90" t="s">
        <v>492</v>
      </c>
      <c r="C90" t="s">
        <v>498</v>
      </c>
      <c r="D90" t="s">
        <v>499</v>
      </c>
      <c r="E90" t="s">
        <v>151</v>
      </c>
      <c r="F90" t="s">
        <v>489</v>
      </c>
      <c r="G90" t="s">
        <v>489</v>
      </c>
      <c r="H90" t="s">
        <v>489</v>
      </c>
      <c r="I90" t="s">
        <v>489</v>
      </c>
    </row>
    <row r="91" spans="1:9" x14ac:dyDescent="0.3">
      <c r="A91">
        <v>410252857</v>
      </c>
      <c r="B91" t="s">
        <v>492</v>
      </c>
      <c r="C91" t="s">
        <v>498</v>
      </c>
      <c r="D91" t="s">
        <v>499</v>
      </c>
      <c r="E91" t="s">
        <v>151</v>
      </c>
      <c r="F91" t="s">
        <v>485</v>
      </c>
      <c r="G91" t="s">
        <v>487</v>
      </c>
      <c r="H91" t="s">
        <v>487</v>
      </c>
      <c r="I91" t="s">
        <v>487</v>
      </c>
    </row>
    <row r="92" spans="1:9" x14ac:dyDescent="0.3">
      <c r="A92">
        <v>410252957</v>
      </c>
      <c r="B92" t="s">
        <v>492</v>
      </c>
      <c r="C92" t="s">
        <v>498</v>
      </c>
      <c r="D92" t="s">
        <v>499</v>
      </c>
      <c r="E92" t="s">
        <v>151</v>
      </c>
      <c r="F92" t="s">
        <v>485</v>
      </c>
      <c r="G92" t="s">
        <v>487</v>
      </c>
      <c r="H92" t="s">
        <v>487</v>
      </c>
      <c r="I92" t="s">
        <v>487</v>
      </c>
    </row>
    <row r="93" spans="1:9" x14ac:dyDescent="0.3">
      <c r="A93">
        <v>410270138</v>
      </c>
      <c r="B93" t="s">
        <v>492</v>
      </c>
      <c r="C93" t="s">
        <v>498</v>
      </c>
      <c r="D93" t="s">
        <v>522</v>
      </c>
      <c r="E93" t="s">
        <v>151</v>
      </c>
      <c r="F93" t="s">
        <v>489</v>
      </c>
      <c r="G93" t="s">
        <v>489</v>
      </c>
      <c r="H93" t="s">
        <v>489</v>
      </c>
      <c r="I93" t="s">
        <v>489</v>
      </c>
    </row>
    <row r="94" spans="1:9" x14ac:dyDescent="0.3">
      <c r="A94">
        <v>410270240</v>
      </c>
      <c r="B94" t="s">
        <v>492</v>
      </c>
      <c r="C94" t="s">
        <v>498</v>
      </c>
      <c r="D94" t="s">
        <v>522</v>
      </c>
      <c r="E94" t="s">
        <v>151</v>
      </c>
      <c r="F94" t="s">
        <v>489</v>
      </c>
      <c r="G94" t="s">
        <v>500</v>
      </c>
      <c r="H94" t="s">
        <v>500</v>
      </c>
      <c r="I94" t="s">
        <v>500</v>
      </c>
    </row>
    <row r="95" spans="1:9" x14ac:dyDescent="0.3">
      <c r="A95">
        <v>410270338</v>
      </c>
      <c r="B95" t="s">
        <v>492</v>
      </c>
      <c r="C95" t="s">
        <v>498</v>
      </c>
      <c r="D95" t="s">
        <v>522</v>
      </c>
      <c r="E95" t="s">
        <v>151</v>
      </c>
      <c r="F95" t="s">
        <v>489</v>
      </c>
      <c r="G95" t="s">
        <v>489</v>
      </c>
      <c r="H95" t="s">
        <v>489</v>
      </c>
      <c r="I95" t="s">
        <v>489</v>
      </c>
    </row>
    <row r="96" spans="1:9" x14ac:dyDescent="0.3">
      <c r="A96">
        <v>410272038</v>
      </c>
      <c r="B96" t="s">
        <v>492</v>
      </c>
      <c r="C96" t="s">
        <v>498</v>
      </c>
      <c r="D96" t="s">
        <v>522</v>
      </c>
      <c r="E96" t="s">
        <v>151</v>
      </c>
      <c r="F96" t="s">
        <v>489</v>
      </c>
      <c r="G96" t="s">
        <v>489</v>
      </c>
      <c r="H96" t="s">
        <v>489</v>
      </c>
      <c r="I96" t="s">
        <v>489</v>
      </c>
    </row>
    <row r="97" spans="1:9" x14ac:dyDescent="0.3">
      <c r="A97">
        <v>410272138</v>
      </c>
      <c r="B97" t="s">
        <v>492</v>
      </c>
      <c r="C97" t="s">
        <v>498</v>
      </c>
      <c r="D97" t="s">
        <v>522</v>
      </c>
      <c r="E97" t="s">
        <v>151</v>
      </c>
      <c r="F97" t="s">
        <v>489</v>
      </c>
      <c r="G97" t="s">
        <v>500</v>
      </c>
      <c r="H97" t="s">
        <v>500</v>
      </c>
      <c r="I97" t="s">
        <v>500</v>
      </c>
    </row>
    <row r="98" spans="1:9" x14ac:dyDescent="0.3">
      <c r="A98">
        <v>410313599</v>
      </c>
      <c r="B98" t="s">
        <v>492</v>
      </c>
      <c r="C98" t="s">
        <v>501</v>
      </c>
      <c r="D98" t="s">
        <v>502</v>
      </c>
      <c r="E98" t="s">
        <v>151</v>
      </c>
      <c r="F98" t="s">
        <v>500</v>
      </c>
      <c r="G98" t="s">
        <v>489</v>
      </c>
      <c r="H98" t="s">
        <v>489</v>
      </c>
      <c r="I98" t="s">
        <v>489</v>
      </c>
    </row>
    <row r="99" spans="1:9" x14ac:dyDescent="0.3">
      <c r="A99">
        <v>410313681</v>
      </c>
      <c r="B99" t="s">
        <v>492</v>
      </c>
      <c r="C99" t="s">
        <v>501</v>
      </c>
      <c r="D99" t="s">
        <v>516</v>
      </c>
      <c r="E99" t="s">
        <v>151</v>
      </c>
      <c r="F99" t="s">
        <v>489</v>
      </c>
      <c r="G99" t="s">
        <v>489</v>
      </c>
      <c r="H99" t="s">
        <v>489</v>
      </c>
      <c r="I99" t="s">
        <v>489</v>
      </c>
    </row>
    <row r="100" spans="1:9" x14ac:dyDescent="0.3">
      <c r="A100">
        <v>410313699</v>
      </c>
      <c r="B100" t="s">
        <v>492</v>
      </c>
      <c r="C100" t="s">
        <v>501</v>
      </c>
      <c r="D100" t="s">
        <v>502</v>
      </c>
      <c r="E100" t="s">
        <v>151</v>
      </c>
      <c r="F100" t="s">
        <v>489</v>
      </c>
      <c r="G100" t="s">
        <v>489</v>
      </c>
      <c r="H100" t="s">
        <v>489</v>
      </c>
      <c r="I100" t="s">
        <v>489</v>
      </c>
    </row>
    <row r="101" spans="1:9" x14ac:dyDescent="0.3">
      <c r="A101">
        <v>410316999</v>
      </c>
      <c r="B101" t="s">
        <v>492</v>
      </c>
      <c r="C101" t="s">
        <v>501</v>
      </c>
      <c r="D101" t="s">
        <v>502</v>
      </c>
      <c r="E101" t="s">
        <v>151</v>
      </c>
      <c r="F101" t="s">
        <v>500</v>
      </c>
      <c r="G101" t="s">
        <v>489</v>
      </c>
      <c r="H101" t="s">
        <v>489</v>
      </c>
      <c r="I101" t="s">
        <v>489</v>
      </c>
    </row>
    <row r="102" spans="1:9" x14ac:dyDescent="0.3">
      <c r="A102">
        <v>410360287</v>
      </c>
      <c r="B102" t="s">
        <v>492</v>
      </c>
      <c r="C102" t="s">
        <v>498</v>
      </c>
      <c r="D102" t="s">
        <v>519</v>
      </c>
      <c r="E102" t="s">
        <v>151</v>
      </c>
      <c r="F102" t="s">
        <v>489</v>
      </c>
      <c r="G102" t="s">
        <v>500</v>
      </c>
      <c r="H102" t="s">
        <v>500</v>
      </c>
      <c r="I102" t="s">
        <v>500</v>
      </c>
    </row>
    <row r="103" spans="1:9" x14ac:dyDescent="0.3">
      <c r="A103">
        <v>410360387</v>
      </c>
      <c r="B103" t="s">
        <v>492</v>
      </c>
      <c r="C103" t="s">
        <v>498</v>
      </c>
      <c r="D103" t="s">
        <v>519</v>
      </c>
      <c r="E103" t="s">
        <v>151</v>
      </c>
      <c r="F103" t="s">
        <v>489</v>
      </c>
      <c r="G103" t="s">
        <v>489</v>
      </c>
      <c r="H103" t="s">
        <v>489</v>
      </c>
      <c r="I103" t="s">
        <v>489</v>
      </c>
    </row>
    <row r="104" spans="1:9" x14ac:dyDescent="0.3">
      <c r="A104">
        <v>410361087</v>
      </c>
      <c r="B104" t="s">
        <v>492</v>
      </c>
      <c r="C104" t="s">
        <v>498</v>
      </c>
      <c r="D104" t="s">
        <v>519</v>
      </c>
      <c r="E104" t="s">
        <v>151</v>
      </c>
      <c r="F104" t="s">
        <v>489</v>
      </c>
      <c r="G104" t="s">
        <v>500</v>
      </c>
      <c r="H104" t="s">
        <v>500</v>
      </c>
      <c r="I104" t="s">
        <v>500</v>
      </c>
    </row>
    <row r="105" spans="1:9" x14ac:dyDescent="0.3">
      <c r="A105">
        <v>410030704</v>
      </c>
      <c r="B105" t="s">
        <v>492</v>
      </c>
      <c r="C105" t="s">
        <v>520</v>
      </c>
      <c r="D105" t="s">
        <v>521</v>
      </c>
      <c r="E105" t="s">
        <v>523</v>
      </c>
      <c r="F105" t="s">
        <v>500</v>
      </c>
      <c r="G105" t="s">
        <v>500</v>
      </c>
      <c r="H105" t="s">
        <v>500</v>
      </c>
      <c r="I105" t="s">
        <v>500</v>
      </c>
    </row>
    <row r="106" spans="1:9" x14ac:dyDescent="0.3">
      <c r="A106">
        <v>410313581</v>
      </c>
      <c r="B106" t="s">
        <v>492</v>
      </c>
      <c r="C106" t="s">
        <v>501</v>
      </c>
      <c r="D106" t="s">
        <v>516</v>
      </c>
      <c r="E106" t="s">
        <v>523</v>
      </c>
      <c r="F106" t="s">
        <v>500</v>
      </c>
      <c r="G106" t="s">
        <v>489</v>
      </c>
      <c r="H106" t="s">
        <v>489</v>
      </c>
      <c r="I106" t="s">
        <v>489</v>
      </c>
    </row>
    <row r="107" spans="1:9" x14ac:dyDescent="0.3">
      <c r="A107">
        <v>410014715</v>
      </c>
      <c r="B107" t="s">
        <v>476</v>
      </c>
      <c r="C107" t="s">
        <v>481</v>
      </c>
      <c r="D107" t="s">
        <v>482</v>
      </c>
      <c r="E107" t="s">
        <v>487</v>
      </c>
      <c r="F107" t="s">
        <v>487</v>
      </c>
      <c r="G107" t="s">
        <v>489</v>
      </c>
      <c r="H107" t="s">
        <v>489</v>
      </c>
      <c r="I107" t="s">
        <v>487</v>
      </c>
    </row>
    <row r="108" spans="1:9" x14ac:dyDescent="0.3">
      <c r="A108">
        <v>410014771</v>
      </c>
      <c r="B108" t="s">
        <v>476</v>
      </c>
      <c r="C108" t="s">
        <v>481</v>
      </c>
      <c r="D108" t="s">
        <v>482</v>
      </c>
      <c r="E108" t="s">
        <v>487</v>
      </c>
      <c r="F108" t="s">
        <v>487</v>
      </c>
      <c r="G108" t="s">
        <v>489</v>
      </c>
      <c r="H108" t="s">
        <v>489</v>
      </c>
      <c r="I108" t="s">
        <v>489</v>
      </c>
    </row>
    <row r="109" spans="1:9" x14ac:dyDescent="0.3">
      <c r="A109">
        <v>410014776</v>
      </c>
      <c r="B109" t="s">
        <v>476</v>
      </c>
      <c r="C109" t="s">
        <v>481</v>
      </c>
      <c r="D109" t="s">
        <v>482</v>
      </c>
      <c r="E109" t="s">
        <v>487</v>
      </c>
      <c r="F109" t="s">
        <v>487</v>
      </c>
      <c r="G109" t="s">
        <v>500</v>
      </c>
      <c r="H109" t="s">
        <v>500</v>
      </c>
      <c r="I109" t="s">
        <v>500</v>
      </c>
    </row>
    <row r="110" spans="1:9" x14ac:dyDescent="0.3">
      <c r="A110">
        <v>410015651</v>
      </c>
      <c r="B110" t="s">
        <v>476</v>
      </c>
      <c r="C110" t="s">
        <v>477</v>
      </c>
      <c r="D110" t="s">
        <v>478</v>
      </c>
      <c r="E110" t="s">
        <v>487</v>
      </c>
      <c r="F110" t="s">
        <v>487</v>
      </c>
      <c r="G110" t="s">
        <v>500</v>
      </c>
      <c r="H110" t="s">
        <v>500</v>
      </c>
      <c r="I110" t="s">
        <v>500</v>
      </c>
    </row>
    <row r="111" spans="1:9" x14ac:dyDescent="0.3">
      <c r="A111">
        <v>410020073</v>
      </c>
      <c r="B111" t="s">
        <v>476</v>
      </c>
      <c r="C111" t="s">
        <v>477</v>
      </c>
      <c r="D111" t="s">
        <v>486</v>
      </c>
      <c r="E111" t="s">
        <v>487</v>
      </c>
      <c r="F111" t="s">
        <v>487</v>
      </c>
      <c r="G111" t="s">
        <v>489</v>
      </c>
      <c r="H111" t="s">
        <v>489</v>
      </c>
      <c r="I111" t="s">
        <v>489</v>
      </c>
    </row>
    <row r="112" spans="1:9" x14ac:dyDescent="0.3">
      <c r="A112">
        <v>410020081</v>
      </c>
      <c r="B112" t="s">
        <v>476</v>
      </c>
      <c r="C112" t="s">
        <v>524</v>
      </c>
      <c r="D112" t="s">
        <v>524</v>
      </c>
      <c r="E112" t="s">
        <v>487</v>
      </c>
      <c r="F112" t="s">
        <v>487</v>
      </c>
      <c r="G112" t="s">
        <v>485</v>
      </c>
      <c r="H112" t="s">
        <v>485</v>
      </c>
      <c r="I112" t="s">
        <v>485</v>
      </c>
    </row>
    <row r="113" spans="1:9" x14ac:dyDescent="0.3">
      <c r="A113">
        <v>410026304</v>
      </c>
      <c r="B113" t="s">
        <v>476</v>
      </c>
      <c r="C113" t="s">
        <v>477</v>
      </c>
      <c r="D113" t="s">
        <v>486</v>
      </c>
      <c r="E113" t="s">
        <v>487</v>
      </c>
      <c r="F113" t="s">
        <v>487</v>
      </c>
      <c r="G113" t="s">
        <v>480</v>
      </c>
      <c r="H113" t="s">
        <v>480</v>
      </c>
      <c r="I113" t="s">
        <v>487</v>
      </c>
    </row>
    <row r="114" spans="1:9" x14ac:dyDescent="0.3">
      <c r="A114">
        <v>410026305</v>
      </c>
      <c r="B114" t="s">
        <v>476</v>
      </c>
      <c r="C114" t="s">
        <v>477</v>
      </c>
      <c r="D114" t="s">
        <v>486</v>
      </c>
      <c r="E114" t="s">
        <v>487</v>
      </c>
      <c r="F114" t="s">
        <v>487</v>
      </c>
      <c r="G114" t="s">
        <v>480</v>
      </c>
      <c r="H114" t="s">
        <v>480</v>
      </c>
      <c r="I114" t="s">
        <v>487</v>
      </c>
    </row>
    <row r="115" spans="1:9" x14ac:dyDescent="0.3">
      <c r="A115">
        <v>410026306</v>
      </c>
      <c r="B115" t="s">
        <v>476</v>
      </c>
      <c r="C115" t="s">
        <v>477</v>
      </c>
      <c r="D115" t="s">
        <v>486</v>
      </c>
      <c r="E115" t="s">
        <v>487</v>
      </c>
      <c r="F115" t="s">
        <v>487</v>
      </c>
      <c r="G115" t="s">
        <v>500</v>
      </c>
      <c r="H115" t="s">
        <v>500</v>
      </c>
      <c r="I115" t="s">
        <v>487</v>
      </c>
    </row>
    <row r="116" spans="1:9" x14ac:dyDescent="0.3">
      <c r="A116">
        <v>410026314</v>
      </c>
      <c r="B116" t="s">
        <v>476</v>
      </c>
      <c r="C116" t="s">
        <v>477</v>
      </c>
      <c r="D116" t="s">
        <v>488</v>
      </c>
      <c r="E116" t="s">
        <v>487</v>
      </c>
      <c r="F116" t="s">
        <v>487</v>
      </c>
      <c r="G116" t="s">
        <v>480</v>
      </c>
      <c r="H116" t="s">
        <v>480</v>
      </c>
      <c r="I116" t="s">
        <v>487</v>
      </c>
    </row>
    <row r="117" spans="1:9" x14ac:dyDescent="0.3">
      <c r="A117">
        <v>410026315</v>
      </c>
      <c r="B117" t="s">
        <v>476</v>
      </c>
      <c r="C117" t="s">
        <v>477</v>
      </c>
      <c r="D117" t="s">
        <v>488</v>
      </c>
      <c r="E117" t="s">
        <v>487</v>
      </c>
      <c r="F117" t="s">
        <v>487</v>
      </c>
      <c r="G117" t="s">
        <v>500</v>
      </c>
      <c r="H117" t="s">
        <v>500</v>
      </c>
      <c r="I117" t="s">
        <v>487</v>
      </c>
    </row>
    <row r="118" spans="1:9" x14ac:dyDescent="0.3">
      <c r="A118">
        <v>410026326</v>
      </c>
      <c r="B118" t="s">
        <v>476</v>
      </c>
      <c r="C118" t="s">
        <v>477</v>
      </c>
      <c r="D118" t="s">
        <v>486</v>
      </c>
      <c r="E118" t="s">
        <v>487</v>
      </c>
      <c r="F118" t="s">
        <v>487</v>
      </c>
      <c r="G118" t="s">
        <v>480</v>
      </c>
      <c r="H118" t="s">
        <v>480</v>
      </c>
      <c r="I118" t="s">
        <v>487</v>
      </c>
    </row>
    <row r="119" spans="1:9" x14ac:dyDescent="0.3">
      <c r="A119">
        <v>410030302</v>
      </c>
      <c r="B119" t="s">
        <v>492</v>
      </c>
      <c r="C119" t="s">
        <v>520</v>
      </c>
      <c r="D119" t="s">
        <v>521</v>
      </c>
      <c r="E119" t="s">
        <v>487</v>
      </c>
      <c r="F119" t="s">
        <v>487</v>
      </c>
      <c r="G119" t="s">
        <v>489</v>
      </c>
      <c r="H119" t="s">
        <v>489</v>
      </c>
      <c r="I119" t="s">
        <v>489</v>
      </c>
    </row>
    <row r="120" spans="1:9" x14ac:dyDescent="0.3">
      <c r="A120">
        <v>410030304</v>
      </c>
      <c r="B120" t="s">
        <v>492</v>
      </c>
      <c r="C120" t="s">
        <v>520</v>
      </c>
      <c r="D120" t="s">
        <v>521</v>
      </c>
      <c r="E120" t="s">
        <v>487</v>
      </c>
      <c r="F120" t="s">
        <v>487</v>
      </c>
      <c r="G120" t="s">
        <v>489</v>
      </c>
      <c r="H120" t="s">
        <v>489</v>
      </c>
      <c r="I120" t="s">
        <v>489</v>
      </c>
    </row>
    <row r="121" spans="1:9" x14ac:dyDescent="0.3">
      <c r="A121">
        <v>410030805</v>
      </c>
      <c r="B121" t="s">
        <v>492</v>
      </c>
      <c r="C121" t="s">
        <v>520</v>
      </c>
      <c r="D121" t="s">
        <v>525</v>
      </c>
      <c r="E121" t="s">
        <v>487</v>
      </c>
      <c r="F121" t="s">
        <v>487</v>
      </c>
      <c r="G121" t="s">
        <v>489</v>
      </c>
      <c r="H121" t="s">
        <v>489</v>
      </c>
      <c r="I121" t="s">
        <v>489</v>
      </c>
    </row>
    <row r="122" spans="1:9" x14ac:dyDescent="0.3">
      <c r="A122">
        <v>410031008</v>
      </c>
      <c r="B122" t="s">
        <v>492</v>
      </c>
      <c r="C122" t="s">
        <v>230</v>
      </c>
      <c r="D122" t="s">
        <v>230</v>
      </c>
      <c r="E122" t="s">
        <v>487</v>
      </c>
      <c r="F122" t="s">
        <v>487</v>
      </c>
      <c r="G122" t="s">
        <v>485</v>
      </c>
      <c r="H122" t="s">
        <v>485</v>
      </c>
      <c r="I122" t="s">
        <v>487</v>
      </c>
    </row>
    <row r="123" spans="1:9" x14ac:dyDescent="0.3">
      <c r="A123">
        <v>410040757</v>
      </c>
      <c r="B123" t="s">
        <v>492</v>
      </c>
      <c r="C123" t="s">
        <v>493</v>
      </c>
      <c r="D123" t="s">
        <v>494</v>
      </c>
      <c r="E123" t="s">
        <v>487</v>
      </c>
      <c r="F123" t="s">
        <v>487</v>
      </c>
      <c r="G123" t="s">
        <v>500</v>
      </c>
      <c r="H123" t="s">
        <v>500</v>
      </c>
      <c r="I123" t="s">
        <v>487</v>
      </c>
    </row>
    <row r="124" spans="1:9" x14ac:dyDescent="0.3">
      <c r="A124">
        <v>410060104</v>
      </c>
      <c r="B124" t="s">
        <v>492</v>
      </c>
      <c r="C124" t="s">
        <v>526</v>
      </c>
      <c r="D124" t="s">
        <v>526</v>
      </c>
      <c r="E124" t="s">
        <v>487</v>
      </c>
      <c r="F124" t="s">
        <v>487</v>
      </c>
      <c r="G124" t="s">
        <v>489</v>
      </c>
      <c r="H124" t="s">
        <v>489</v>
      </c>
      <c r="I124" t="s">
        <v>489</v>
      </c>
    </row>
    <row r="125" spans="1:9" x14ac:dyDescent="0.3">
      <c r="A125">
        <v>410060204</v>
      </c>
      <c r="B125" t="s">
        <v>492</v>
      </c>
      <c r="C125" t="s">
        <v>526</v>
      </c>
      <c r="D125" t="s">
        <v>526</v>
      </c>
      <c r="E125" t="s">
        <v>487</v>
      </c>
      <c r="F125" t="s">
        <v>487</v>
      </c>
      <c r="G125" t="s">
        <v>489</v>
      </c>
      <c r="H125" t="s">
        <v>489</v>
      </c>
      <c r="I125" t="s">
        <v>489</v>
      </c>
    </row>
    <row r="126" spans="1:9" x14ac:dyDescent="0.3">
      <c r="A126">
        <v>410060304</v>
      </c>
      <c r="B126" t="s">
        <v>492</v>
      </c>
      <c r="C126" t="s">
        <v>526</v>
      </c>
      <c r="D126" t="s">
        <v>526</v>
      </c>
      <c r="E126" t="s">
        <v>487</v>
      </c>
      <c r="F126" t="s">
        <v>487</v>
      </c>
      <c r="G126" t="s">
        <v>489</v>
      </c>
      <c r="H126" t="s">
        <v>489</v>
      </c>
      <c r="I126" t="s">
        <v>489</v>
      </c>
    </row>
    <row r="127" spans="1:9" x14ac:dyDescent="0.3">
      <c r="A127">
        <v>410060404</v>
      </c>
      <c r="B127" t="s">
        <v>492</v>
      </c>
      <c r="C127" t="s">
        <v>526</v>
      </c>
      <c r="D127" t="s">
        <v>526</v>
      </c>
      <c r="E127" t="s">
        <v>487</v>
      </c>
      <c r="F127" t="s">
        <v>487</v>
      </c>
      <c r="G127" t="s">
        <v>489</v>
      </c>
      <c r="H127" t="s">
        <v>489</v>
      </c>
      <c r="I127" t="s">
        <v>489</v>
      </c>
    </row>
    <row r="128" spans="1:9" x14ac:dyDescent="0.3">
      <c r="A128">
        <v>410066304</v>
      </c>
      <c r="B128" t="s">
        <v>492</v>
      </c>
      <c r="C128" t="s">
        <v>526</v>
      </c>
      <c r="D128" t="s">
        <v>526</v>
      </c>
      <c r="E128" t="s">
        <v>487</v>
      </c>
      <c r="F128" t="s">
        <v>487</v>
      </c>
      <c r="G128" t="s">
        <v>489</v>
      </c>
      <c r="H128" t="s">
        <v>489</v>
      </c>
      <c r="I128" t="s">
        <v>489</v>
      </c>
    </row>
    <row r="129" spans="1:9" x14ac:dyDescent="0.3">
      <c r="A129">
        <v>410085094</v>
      </c>
      <c r="B129" t="s">
        <v>476</v>
      </c>
      <c r="C129" t="s">
        <v>527</v>
      </c>
      <c r="D129" t="s">
        <v>528</v>
      </c>
      <c r="E129" t="s">
        <v>487</v>
      </c>
      <c r="F129" t="s">
        <v>487</v>
      </c>
      <c r="G129" t="s">
        <v>500</v>
      </c>
      <c r="H129" t="s">
        <v>500</v>
      </c>
      <c r="I129" t="s">
        <v>500</v>
      </c>
    </row>
    <row r="130" spans="1:9" x14ac:dyDescent="0.3">
      <c r="A130">
        <v>410085095</v>
      </c>
      <c r="B130" t="s">
        <v>476</v>
      </c>
      <c r="C130" t="s">
        <v>527</v>
      </c>
      <c r="D130" t="s">
        <v>528</v>
      </c>
      <c r="E130" t="s">
        <v>487</v>
      </c>
      <c r="F130" t="s">
        <v>487</v>
      </c>
      <c r="G130" t="s">
        <v>485</v>
      </c>
      <c r="H130" t="s">
        <v>487</v>
      </c>
      <c r="I130" t="s">
        <v>487</v>
      </c>
    </row>
    <row r="131" spans="1:9" x14ac:dyDescent="0.3">
      <c r="A131">
        <v>410100301</v>
      </c>
      <c r="B131" t="s">
        <v>492</v>
      </c>
      <c r="C131" t="s">
        <v>509</v>
      </c>
      <c r="D131" t="s">
        <v>510</v>
      </c>
      <c r="E131" t="s">
        <v>487</v>
      </c>
      <c r="F131" t="s">
        <v>487</v>
      </c>
      <c r="G131" t="s">
        <v>500</v>
      </c>
      <c r="H131" t="s">
        <v>500</v>
      </c>
      <c r="I131" t="s">
        <v>500</v>
      </c>
    </row>
    <row r="132" spans="1:9" x14ac:dyDescent="0.3">
      <c r="A132">
        <v>410113371</v>
      </c>
      <c r="B132" t="s">
        <v>492</v>
      </c>
      <c r="C132" t="s">
        <v>529</v>
      </c>
      <c r="D132" t="s">
        <v>530</v>
      </c>
      <c r="E132" t="s">
        <v>487</v>
      </c>
      <c r="F132" t="s">
        <v>487</v>
      </c>
      <c r="G132" t="s">
        <v>529</v>
      </c>
      <c r="H132" t="s">
        <v>529</v>
      </c>
      <c r="I132" t="s">
        <v>529</v>
      </c>
    </row>
    <row r="133" spans="1:9" x14ac:dyDescent="0.3">
      <c r="A133">
        <v>410140233</v>
      </c>
      <c r="B133" t="s">
        <v>531</v>
      </c>
      <c r="C133" t="s">
        <v>532</v>
      </c>
      <c r="D133" t="s">
        <v>533</v>
      </c>
      <c r="E133" t="s">
        <v>487</v>
      </c>
      <c r="F133" t="s">
        <v>487</v>
      </c>
      <c r="G133" t="s">
        <v>485</v>
      </c>
      <c r="H133" t="s">
        <v>485</v>
      </c>
      <c r="I133" t="s">
        <v>485</v>
      </c>
    </row>
    <row r="134" spans="1:9" x14ac:dyDescent="0.3">
      <c r="A134">
        <v>410140234</v>
      </c>
      <c r="B134" t="s">
        <v>531</v>
      </c>
      <c r="C134" t="s">
        <v>532</v>
      </c>
      <c r="D134" t="s">
        <v>533</v>
      </c>
      <c r="E134" t="s">
        <v>487</v>
      </c>
      <c r="F134" t="s">
        <v>487</v>
      </c>
      <c r="G134" t="s">
        <v>485</v>
      </c>
      <c r="H134" t="s">
        <v>485</v>
      </c>
      <c r="I134" t="s">
        <v>485</v>
      </c>
    </row>
    <row r="135" spans="1:9" x14ac:dyDescent="0.3">
      <c r="A135">
        <v>410140425</v>
      </c>
      <c r="B135" t="s">
        <v>531</v>
      </c>
      <c r="C135" t="s">
        <v>534</v>
      </c>
      <c r="D135" t="s">
        <v>535</v>
      </c>
      <c r="E135" t="s">
        <v>487</v>
      </c>
      <c r="F135" t="s">
        <v>487</v>
      </c>
      <c r="G135" t="s">
        <v>485</v>
      </c>
      <c r="H135" t="s">
        <v>485</v>
      </c>
      <c r="I135" t="s">
        <v>485</v>
      </c>
    </row>
    <row r="136" spans="1:9" x14ac:dyDescent="0.3">
      <c r="A136">
        <v>410140525</v>
      </c>
      <c r="B136" t="s">
        <v>531</v>
      </c>
      <c r="C136" t="s">
        <v>534</v>
      </c>
      <c r="D136" t="s">
        <v>535</v>
      </c>
      <c r="E136" t="s">
        <v>487</v>
      </c>
      <c r="F136" t="s">
        <v>487</v>
      </c>
      <c r="G136" t="s">
        <v>485</v>
      </c>
      <c r="H136" t="s">
        <v>485</v>
      </c>
      <c r="I136" t="s">
        <v>485</v>
      </c>
    </row>
    <row r="137" spans="1:9" x14ac:dyDescent="0.3">
      <c r="A137">
        <v>410140533</v>
      </c>
      <c r="B137" t="s">
        <v>531</v>
      </c>
      <c r="C137" t="s">
        <v>532</v>
      </c>
      <c r="D137" t="s">
        <v>533</v>
      </c>
      <c r="E137" t="s">
        <v>487</v>
      </c>
      <c r="F137" t="s">
        <v>487</v>
      </c>
      <c r="G137" t="s">
        <v>485</v>
      </c>
      <c r="H137" t="s">
        <v>485</v>
      </c>
      <c r="I137" t="s">
        <v>485</v>
      </c>
    </row>
    <row r="138" spans="1:9" x14ac:dyDescent="0.3">
      <c r="A138">
        <v>410140534</v>
      </c>
      <c r="B138" t="s">
        <v>531</v>
      </c>
      <c r="C138" t="s">
        <v>532</v>
      </c>
      <c r="D138" t="s">
        <v>533</v>
      </c>
      <c r="E138" t="s">
        <v>487</v>
      </c>
      <c r="F138" t="s">
        <v>487</v>
      </c>
      <c r="G138" t="s">
        <v>485</v>
      </c>
      <c r="H138" t="s">
        <v>485</v>
      </c>
      <c r="I138" t="s">
        <v>485</v>
      </c>
    </row>
    <row r="139" spans="1:9" x14ac:dyDescent="0.3">
      <c r="A139">
        <v>410140633</v>
      </c>
      <c r="B139" t="s">
        <v>531</v>
      </c>
      <c r="C139" t="s">
        <v>532</v>
      </c>
      <c r="D139" t="s">
        <v>533</v>
      </c>
      <c r="E139" t="s">
        <v>487</v>
      </c>
      <c r="F139" t="s">
        <v>487</v>
      </c>
      <c r="G139" t="s">
        <v>485</v>
      </c>
      <c r="H139" t="s">
        <v>485</v>
      </c>
      <c r="I139" t="s">
        <v>485</v>
      </c>
    </row>
    <row r="140" spans="1:9" x14ac:dyDescent="0.3">
      <c r="A140">
        <v>410140634</v>
      </c>
      <c r="B140" t="s">
        <v>531</v>
      </c>
      <c r="C140" t="s">
        <v>532</v>
      </c>
      <c r="D140" t="s">
        <v>533</v>
      </c>
      <c r="E140" t="s">
        <v>487</v>
      </c>
      <c r="F140" t="s">
        <v>487</v>
      </c>
      <c r="G140" t="s">
        <v>485</v>
      </c>
      <c r="H140" t="s">
        <v>485</v>
      </c>
      <c r="I140" t="s">
        <v>485</v>
      </c>
    </row>
    <row r="141" spans="1:9" x14ac:dyDescent="0.3">
      <c r="A141">
        <v>410270238</v>
      </c>
      <c r="B141" t="s">
        <v>492</v>
      </c>
      <c r="C141" t="s">
        <v>498</v>
      </c>
      <c r="D141" t="s">
        <v>522</v>
      </c>
      <c r="E141" t="s">
        <v>487</v>
      </c>
      <c r="F141" t="s">
        <v>487</v>
      </c>
      <c r="G141" t="s">
        <v>489</v>
      </c>
      <c r="H141" t="s">
        <v>489</v>
      </c>
      <c r="I141" t="s">
        <v>487</v>
      </c>
    </row>
    <row r="142" spans="1:9" x14ac:dyDescent="0.3">
      <c r="A142">
        <v>410300060</v>
      </c>
      <c r="B142" t="s">
        <v>492</v>
      </c>
      <c r="C142" t="s">
        <v>496</v>
      </c>
      <c r="D142" t="s">
        <v>513</v>
      </c>
      <c r="E142" t="s">
        <v>487</v>
      </c>
      <c r="F142" t="s">
        <v>487</v>
      </c>
      <c r="G142" t="s">
        <v>489</v>
      </c>
      <c r="H142" t="s">
        <v>489</v>
      </c>
      <c r="I142" t="s">
        <v>489</v>
      </c>
    </row>
    <row r="143" spans="1:9" x14ac:dyDescent="0.3">
      <c r="A143">
        <v>410310097</v>
      </c>
      <c r="B143" t="s">
        <v>492</v>
      </c>
      <c r="C143" t="s">
        <v>501</v>
      </c>
      <c r="D143" t="s">
        <v>536</v>
      </c>
      <c r="E143" t="s">
        <v>487</v>
      </c>
      <c r="F143" t="s">
        <v>487</v>
      </c>
      <c r="G143" t="s">
        <v>489</v>
      </c>
      <c r="H143" t="s">
        <v>489</v>
      </c>
      <c r="I143" t="s">
        <v>489</v>
      </c>
    </row>
    <row r="144" spans="1:9" x14ac:dyDescent="0.3">
      <c r="A144">
        <v>410310197</v>
      </c>
      <c r="B144" t="s">
        <v>492</v>
      </c>
      <c r="C144" t="s">
        <v>501</v>
      </c>
      <c r="D144" t="s">
        <v>536</v>
      </c>
      <c r="E144" t="s">
        <v>487</v>
      </c>
      <c r="F144" t="s">
        <v>487</v>
      </c>
      <c r="G144" t="s">
        <v>489</v>
      </c>
      <c r="H144" t="s">
        <v>489</v>
      </c>
      <c r="I144" t="s">
        <v>489</v>
      </c>
    </row>
    <row r="145" spans="1:9" x14ac:dyDescent="0.3">
      <c r="A145">
        <v>410310298</v>
      </c>
      <c r="B145" t="s">
        <v>492</v>
      </c>
      <c r="C145" t="s">
        <v>501</v>
      </c>
      <c r="D145" t="s">
        <v>536</v>
      </c>
      <c r="E145" t="s">
        <v>487</v>
      </c>
      <c r="F145" t="s">
        <v>487</v>
      </c>
      <c r="G145" t="s">
        <v>489</v>
      </c>
      <c r="H145" t="s">
        <v>489</v>
      </c>
      <c r="I145" t="s">
        <v>489</v>
      </c>
    </row>
    <row r="146" spans="1:9" x14ac:dyDescent="0.3">
      <c r="A146">
        <v>410310398</v>
      </c>
      <c r="B146" t="s">
        <v>492</v>
      </c>
      <c r="C146" t="s">
        <v>501</v>
      </c>
      <c r="D146" t="s">
        <v>536</v>
      </c>
      <c r="E146" t="s">
        <v>487</v>
      </c>
      <c r="F146" t="s">
        <v>487</v>
      </c>
      <c r="G146" t="s">
        <v>489</v>
      </c>
      <c r="H146" t="s">
        <v>489</v>
      </c>
      <c r="I146" t="s">
        <v>489</v>
      </c>
    </row>
    <row r="147" spans="1:9" x14ac:dyDescent="0.3">
      <c r="A147">
        <v>410310430</v>
      </c>
      <c r="B147" t="s">
        <v>492</v>
      </c>
      <c r="C147" t="s">
        <v>501</v>
      </c>
      <c r="D147" t="s">
        <v>502</v>
      </c>
      <c r="E147" t="s">
        <v>487</v>
      </c>
      <c r="F147" t="s">
        <v>487</v>
      </c>
      <c r="G147" t="s">
        <v>489</v>
      </c>
      <c r="H147" t="s">
        <v>489</v>
      </c>
      <c r="I147" t="s">
        <v>489</v>
      </c>
    </row>
    <row r="148" spans="1:9" x14ac:dyDescent="0.3">
      <c r="A148">
        <v>410313472</v>
      </c>
      <c r="B148" t="s">
        <v>492</v>
      </c>
      <c r="C148" t="s">
        <v>529</v>
      </c>
      <c r="D148" t="s">
        <v>530</v>
      </c>
      <c r="E148" t="s">
        <v>487</v>
      </c>
      <c r="F148" t="s">
        <v>487</v>
      </c>
      <c r="G148" t="s">
        <v>529</v>
      </c>
      <c r="H148" t="s">
        <v>529</v>
      </c>
      <c r="I148" t="s">
        <v>529</v>
      </c>
    </row>
    <row r="149" spans="1:9" x14ac:dyDescent="0.3">
      <c r="A149">
        <v>410313572</v>
      </c>
      <c r="B149" t="s">
        <v>492</v>
      </c>
      <c r="C149" t="s">
        <v>529</v>
      </c>
      <c r="D149" t="s">
        <v>530</v>
      </c>
      <c r="E149" t="s">
        <v>487</v>
      </c>
      <c r="F149" t="s">
        <v>487</v>
      </c>
      <c r="G149" t="s">
        <v>529</v>
      </c>
      <c r="H149" t="s">
        <v>529</v>
      </c>
      <c r="I149" t="s">
        <v>529</v>
      </c>
    </row>
    <row r="150" spans="1:9" x14ac:dyDescent="0.3">
      <c r="A150">
        <v>410313672</v>
      </c>
      <c r="B150" t="s">
        <v>492</v>
      </c>
      <c r="C150" t="s">
        <v>529</v>
      </c>
      <c r="D150" t="s">
        <v>530</v>
      </c>
      <c r="E150" t="s">
        <v>487</v>
      </c>
      <c r="F150" t="s">
        <v>487</v>
      </c>
      <c r="G150" t="s">
        <v>529</v>
      </c>
      <c r="H150" t="s">
        <v>529</v>
      </c>
      <c r="I150" t="s">
        <v>529</v>
      </c>
    </row>
    <row r="151" spans="1:9" x14ac:dyDescent="0.3">
      <c r="A151">
        <v>410316572</v>
      </c>
      <c r="B151" t="s">
        <v>492</v>
      </c>
      <c r="C151" t="s">
        <v>529</v>
      </c>
      <c r="D151" t="s">
        <v>530</v>
      </c>
      <c r="E151" t="s">
        <v>487</v>
      </c>
      <c r="F151" t="s">
        <v>487</v>
      </c>
      <c r="G151" t="s">
        <v>529</v>
      </c>
      <c r="H151" t="s">
        <v>529</v>
      </c>
      <c r="I151" t="s">
        <v>529</v>
      </c>
    </row>
    <row r="152" spans="1:9" x14ac:dyDescent="0.3">
      <c r="A152">
        <v>410316972</v>
      </c>
      <c r="B152" t="s">
        <v>492</v>
      </c>
      <c r="C152" t="s">
        <v>529</v>
      </c>
      <c r="D152" t="s">
        <v>530</v>
      </c>
      <c r="E152" t="s">
        <v>487</v>
      </c>
      <c r="F152" t="s">
        <v>487</v>
      </c>
      <c r="G152" t="s">
        <v>529</v>
      </c>
      <c r="H152" t="s">
        <v>529</v>
      </c>
      <c r="I152" t="s">
        <v>529</v>
      </c>
    </row>
    <row r="153" spans="1:9" x14ac:dyDescent="0.3">
      <c r="A153">
        <v>410321690</v>
      </c>
      <c r="B153" t="s">
        <v>492</v>
      </c>
      <c r="C153" t="s">
        <v>505</v>
      </c>
      <c r="D153" t="s">
        <v>537</v>
      </c>
      <c r="E153" t="s">
        <v>487</v>
      </c>
      <c r="F153" t="s">
        <v>487</v>
      </c>
      <c r="G153" t="s">
        <v>500</v>
      </c>
      <c r="H153" t="s">
        <v>500</v>
      </c>
      <c r="I153" t="s">
        <v>500</v>
      </c>
    </row>
    <row r="154" spans="1:9" x14ac:dyDescent="0.3">
      <c r="A154">
        <v>400020031</v>
      </c>
      <c r="B154" t="s">
        <v>476</v>
      </c>
      <c r="C154" t="s">
        <v>477</v>
      </c>
      <c r="D154" t="s">
        <v>486</v>
      </c>
      <c r="E154" t="s">
        <v>487</v>
      </c>
      <c r="F154" t="s">
        <v>487</v>
      </c>
      <c r="G154" t="s">
        <v>487</v>
      </c>
      <c r="H154" t="s">
        <v>480</v>
      </c>
      <c r="I154" t="s">
        <v>480</v>
      </c>
    </row>
    <row r="155" spans="1:9" x14ac:dyDescent="0.3">
      <c r="A155">
        <v>410014793</v>
      </c>
      <c r="B155" t="s">
        <v>476</v>
      </c>
      <c r="C155" t="s">
        <v>481</v>
      </c>
      <c r="D155" t="s">
        <v>490</v>
      </c>
      <c r="E155" t="s">
        <v>487</v>
      </c>
      <c r="F155" t="s">
        <v>487</v>
      </c>
      <c r="G155" t="s">
        <v>487</v>
      </c>
      <c r="H155" t="s">
        <v>480</v>
      </c>
      <c r="I155" t="s">
        <v>480</v>
      </c>
    </row>
    <row r="156" spans="1:9" x14ac:dyDescent="0.3">
      <c r="A156">
        <v>410015650</v>
      </c>
      <c r="B156" t="s">
        <v>476</v>
      </c>
      <c r="C156" t="s">
        <v>477</v>
      </c>
      <c r="D156" t="s">
        <v>478</v>
      </c>
      <c r="E156" t="s">
        <v>487</v>
      </c>
      <c r="F156" t="s">
        <v>487</v>
      </c>
      <c r="G156" t="s">
        <v>487</v>
      </c>
      <c r="H156" t="s">
        <v>489</v>
      </c>
      <c r="I156" t="s">
        <v>489</v>
      </c>
    </row>
    <row r="157" spans="1:9" x14ac:dyDescent="0.3">
      <c r="A157">
        <v>410020009</v>
      </c>
      <c r="B157" t="s">
        <v>476</v>
      </c>
      <c r="C157" t="s">
        <v>477</v>
      </c>
      <c r="D157" t="s">
        <v>486</v>
      </c>
      <c r="E157" t="s">
        <v>487</v>
      </c>
      <c r="F157" t="s">
        <v>487</v>
      </c>
      <c r="G157" t="s">
        <v>487</v>
      </c>
      <c r="H157" t="s">
        <v>480</v>
      </c>
      <c r="I157" t="s">
        <v>480</v>
      </c>
    </row>
    <row r="158" spans="1:9" x14ac:dyDescent="0.3">
      <c r="A158">
        <v>410020037</v>
      </c>
      <c r="B158" t="s">
        <v>476</v>
      </c>
      <c r="C158" t="s">
        <v>477</v>
      </c>
      <c r="D158" t="s">
        <v>486</v>
      </c>
      <c r="E158" t="s">
        <v>487</v>
      </c>
      <c r="F158" t="s">
        <v>487</v>
      </c>
      <c r="G158" t="s">
        <v>487</v>
      </c>
      <c r="H158" t="s">
        <v>480</v>
      </c>
      <c r="I158" t="s">
        <v>480</v>
      </c>
    </row>
    <row r="159" spans="1:9" x14ac:dyDescent="0.3">
      <c r="A159">
        <v>410020057</v>
      </c>
      <c r="B159" t="s">
        <v>476</v>
      </c>
      <c r="C159" t="s">
        <v>477</v>
      </c>
      <c r="D159" t="s">
        <v>486</v>
      </c>
      <c r="E159" t="s">
        <v>487</v>
      </c>
      <c r="F159" t="s">
        <v>487</v>
      </c>
      <c r="G159" t="s">
        <v>487</v>
      </c>
      <c r="H159" t="s">
        <v>489</v>
      </c>
      <c r="I159" t="s">
        <v>489</v>
      </c>
    </row>
    <row r="160" spans="1:9" x14ac:dyDescent="0.3">
      <c r="A160">
        <v>410020079</v>
      </c>
      <c r="B160" t="s">
        <v>476</v>
      </c>
      <c r="C160" t="s">
        <v>477</v>
      </c>
      <c r="D160" t="s">
        <v>488</v>
      </c>
      <c r="E160" t="s">
        <v>487</v>
      </c>
      <c r="F160" t="s">
        <v>487</v>
      </c>
      <c r="G160" t="s">
        <v>487</v>
      </c>
      <c r="H160" t="s">
        <v>480</v>
      </c>
      <c r="I160" t="s">
        <v>480</v>
      </c>
    </row>
    <row r="161" spans="1:9" x14ac:dyDescent="0.3">
      <c r="A161">
        <v>410020080</v>
      </c>
      <c r="B161" t="s">
        <v>476</v>
      </c>
      <c r="C161" t="s">
        <v>477</v>
      </c>
      <c r="D161" t="s">
        <v>488</v>
      </c>
      <c r="E161" t="s">
        <v>487</v>
      </c>
      <c r="F161" t="s">
        <v>487</v>
      </c>
      <c r="G161" t="s">
        <v>487</v>
      </c>
      <c r="H161" t="s">
        <v>480</v>
      </c>
      <c r="I161" t="s">
        <v>480</v>
      </c>
    </row>
    <row r="162" spans="1:9" x14ac:dyDescent="0.3">
      <c r="A162">
        <v>410022034</v>
      </c>
      <c r="B162" t="s">
        <v>476</v>
      </c>
      <c r="C162" t="s">
        <v>538</v>
      </c>
      <c r="D162" t="s">
        <v>539</v>
      </c>
      <c r="E162" t="s">
        <v>487</v>
      </c>
      <c r="F162" t="s">
        <v>487</v>
      </c>
      <c r="G162" t="s">
        <v>487</v>
      </c>
      <c r="H162" t="s">
        <v>500</v>
      </c>
      <c r="I162" t="s">
        <v>500</v>
      </c>
    </row>
    <row r="163" spans="1:9" x14ac:dyDescent="0.3">
      <c r="A163">
        <v>410024701</v>
      </c>
      <c r="B163" t="s">
        <v>476</v>
      </c>
      <c r="C163" t="s">
        <v>481</v>
      </c>
      <c r="D163" t="s">
        <v>490</v>
      </c>
      <c r="E163" t="s">
        <v>487</v>
      </c>
      <c r="F163" t="s">
        <v>487</v>
      </c>
      <c r="G163" t="s">
        <v>487</v>
      </c>
      <c r="H163" t="s">
        <v>500</v>
      </c>
      <c r="I163" t="s">
        <v>487</v>
      </c>
    </row>
    <row r="164" spans="1:9" x14ac:dyDescent="0.3">
      <c r="A164">
        <v>410024710</v>
      </c>
      <c r="B164" t="s">
        <v>476</v>
      </c>
      <c r="C164" t="s">
        <v>481</v>
      </c>
      <c r="D164" t="s">
        <v>490</v>
      </c>
      <c r="E164" t="s">
        <v>487</v>
      </c>
      <c r="F164" t="s">
        <v>487</v>
      </c>
      <c r="G164" t="s">
        <v>487</v>
      </c>
      <c r="H164" t="s">
        <v>480</v>
      </c>
      <c r="I164" t="s">
        <v>487</v>
      </c>
    </row>
    <row r="165" spans="1:9" x14ac:dyDescent="0.3">
      <c r="A165">
        <v>410024780</v>
      </c>
      <c r="B165" t="s">
        <v>476</v>
      </c>
      <c r="C165" t="s">
        <v>481</v>
      </c>
      <c r="D165" t="s">
        <v>540</v>
      </c>
      <c r="E165" t="s">
        <v>487</v>
      </c>
      <c r="F165" t="s">
        <v>487</v>
      </c>
      <c r="G165" t="s">
        <v>487</v>
      </c>
      <c r="H165" t="s">
        <v>489</v>
      </c>
      <c r="I165" t="s">
        <v>489</v>
      </c>
    </row>
    <row r="166" spans="1:9" x14ac:dyDescent="0.3">
      <c r="A166">
        <v>410024797</v>
      </c>
      <c r="B166" t="s">
        <v>476</v>
      </c>
      <c r="C166" t="s">
        <v>481</v>
      </c>
      <c r="D166" t="s">
        <v>490</v>
      </c>
      <c r="E166" t="s">
        <v>487</v>
      </c>
      <c r="F166" t="s">
        <v>487</v>
      </c>
      <c r="G166" t="s">
        <v>487</v>
      </c>
      <c r="H166" t="s">
        <v>489</v>
      </c>
      <c r="I166" t="s">
        <v>489</v>
      </c>
    </row>
    <row r="167" spans="1:9" x14ac:dyDescent="0.3">
      <c r="A167">
        <v>410024798</v>
      </c>
      <c r="B167" t="s">
        <v>476</v>
      </c>
      <c r="C167" t="s">
        <v>481</v>
      </c>
      <c r="D167" t="s">
        <v>490</v>
      </c>
      <c r="E167" t="s">
        <v>487</v>
      </c>
      <c r="F167" t="s">
        <v>487</v>
      </c>
      <c r="G167" t="s">
        <v>487</v>
      </c>
      <c r="H167" t="s">
        <v>500</v>
      </c>
      <c r="I167" t="s">
        <v>500</v>
      </c>
    </row>
    <row r="168" spans="1:9" x14ac:dyDescent="0.3">
      <c r="A168">
        <v>410025623</v>
      </c>
      <c r="B168" t="s">
        <v>476</v>
      </c>
      <c r="C168" t="s">
        <v>477</v>
      </c>
      <c r="D168" t="s">
        <v>486</v>
      </c>
      <c r="E168" t="s">
        <v>487</v>
      </c>
      <c r="F168" t="s">
        <v>487</v>
      </c>
      <c r="G168" t="s">
        <v>487</v>
      </c>
      <c r="H168" t="s">
        <v>489</v>
      </c>
      <c r="I168" t="s">
        <v>487</v>
      </c>
    </row>
    <row r="169" spans="1:9" x14ac:dyDescent="0.3">
      <c r="A169">
        <v>410025652</v>
      </c>
      <c r="B169" t="s">
        <v>476</v>
      </c>
      <c r="C169" t="s">
        <v>477</v>
      </c>
      <c r="D169" t="s">
        <v>486</v>
      </c>
      <c r="E169" t="s">
        <v>487</v>
      </c>
      <c r="F169" t="s">
        <v>487</v>
      </c>
      <c r="G169" t="s">
        <v>487</v>
      </c>
      <c r="H169" t="s">
        <v>489</v>
      </c>
      <c r="I169" t="s">
        <v>489</v>
      </c>
    </row>
    <row r="170" spans="1:9" x14ac:dyDescent="0.3">
      <c r="A170">
        <v>410025699</v>
      </c>
      <c r="B170" t="s">
        <v>476</v>
      </c>
      <c r="C170" t="s">
        <v>477</v>
      </c>
      <c r="D170" t="s">
        <v>486</v>
      </c>
      <c r="E170" t="s">
        <v>487</v>
      </c>
      <c r="F170" t="s">
        <v>487</v>
      </c>
      <c r="G170" t="s">
        <v>487</v>
      </c>
      <c r="H170" t="s">
        <v>489</v>
      </c>
      <c r="I170" t="s">
        <v>489</v>
      </c>
    </row>
    <row r="171" spans="1:9" x14ac:dyDescent="0.3">
      <c r="A171">
        <v>410026234</v>
      </c>
      <c r="B171" t="s">
        <v>476</v>
      </c>
      <c r="C171" t="s">
        <v>483</v>
      </c>
      <c r="D171" t="s">
        <v>504</v>
      </c>
      <c r="E171" t="s">
        <v>487</v>
      </c>
      <c r="F171" t="s">
        <v>487</v>
      </c>
      <c r="G171" t="s">
        <v>487</v>
      </c>
      <c r="H171" t="s">
        <v>480</v>
      </c>
      <c r="I171" t="s">
        <v>480</v>
      </c>
    </row>
    <row r="172" spans="1:9" x14ac:dyDescent="0.3">
      <c r="A172">
        <v>410030905</v>
      </c>
      <c r="B172" t="s">
        <v>492</v>
      </c>
      <c r="C172" t="s">
        <v>520</v>
      </c>
      <c r="D172" t="s">
        <v>525</v>
      </c>
      <c r="E172" t="s">
        <v>487</v>
      </c>
      <c r="F172" t="s">
        <v>487</v>
      </c>
      <c r="G172" t="s">
        <v>487</v>
      </c>
      <c r="H172" t="s">
        <v>489</v>
      </c>
      <c r="I172" t="s">
        <v>489</v>
      </c>
    </row>
    <row r="173" spans="1:9" x14ac:dyDescent="0.3">
      <c r="A173">
        <v>410031005</v>
      </c>
      <c r="B173" t="s">
        <v>492</v>
      </c>
      <c r="C173" t="s">
        <v>520</v>
      </c>
      <c r="D173" t="s">
        <v>525</v>
      </c>
      <c r="E173" t="s">
        <v>487</v>
      </c>
      <c r="F173" t="s">
        <v>487</v>
      </c>
      <c r="G173" t="s">
        <v>487</v>
      </c>
      <c r="H173" t="s">
        <v>489</v>
      </c>
      <c r="I173" t="s">
        <v>489</v>
      </c>
    </row>
    <row r="174" spans="1:9" x14ac:dyDescent="0.3">
      <c r="A174">
        <v>410031105</v>
      </c>
      <c r="B174" t="s">
        <v>492</v>
      </c>
      <c r="C174" t="s">
        <v>520</v>
      </c>
      <c r="D174" t="s">
        <v>525</v>
      </c>
      <c r="E174" t="s">
        <v>487</v>
      </c>
      <c r="F174" t="s">
        <v>487</v>
      </c>
      <c r="G174" t="s">
        <v>487</v>
      </c>
      <c r="H174" t="s">
        <v>485</v>
      </c>
      <c r="I174" t="s">
        <v>485</v>
      </c>
    </row>
    <row r="175" spans="1:9" x14ac:dyDescent="0.3">
      <c r="A175">
        <v>410031205</v>
      </c>
      <c r="B175" t="s">
        <v>492</v>
      </c>
      <c r="C175" t="s">
        <v>520</v>
      </c>
      <c r="D175" t="s">
        <v>525</v>
      </c>
      <c r="E175" t="s">
        <v>487</v>
      </c>
      <c r="F175" t="s">
        <v>487</v>
      </c>
      <c r="G175" t="s">
        <v>487</v>
      </c>
      <c r="H175" t="s">
        <v>485</v>
      </c>
      <c r="I175" t="s">
        <v>485</v>
      </c>
    </row>
    <row r="176" spans="1:9" x14ac:dyDescent="0.3">
      <c r="A176">
        <v>410060202</v>
      </c>
      <c r="B176" t="s">
        <v>492</v>
      </c>
      <c r="C176" t="s">
        <v>526</v>
      </c>
      <c r="D176" t="s">
        <v>526</v>
      </c>
      <c r="E176" t="s">
        <v>487</v>
      </c>
      <c r="F176" t="s">
        <v>487</v>
      </c>
      <c r="G176" t="s">
        <v>487</v>
      </c>
      <c r="H176" t="s">
        <v>489</v>
      </c>
      <c r="I176" t="s">
        <v>487</v>
      </c>
    </row>
    <row r="177" spans="1:9" x14ac:dyDescent="0.3">
      <c r="A177">
        <v>410090205</v>
      </c>
      <c r="B177" t="s">
        <v>492</v>
      </c>
      <c r="C177" t="s">
        <v>496</v>
      </c>
      <c r="D177" t="s">
        <v>497</v>
      </c>
      <c r="E177" t="s">
        <v>487</v>
      </c>
      <c r="F177" t="s">
        <v>487</v>
      </c>
      <c r="G177" t="s">
        <v>487</v>
      </c>
      <c r="H177" t="s">
        <v>489</v>
      </c>
      <c r="I177" t="s">
        <v>489</v>
      </c>
    </row>
    <row r="178" spans="1:9" x14ac:dyDescent="0.3">
      <c r="A178">
        <v>410090248</v>
      </c>
      <c r="B178" t="s">
        <v>492</v>
      </c>
      <c r="C178" t="s">
        <v>496</v>
      </c>
      <c r="D178" t="s">
        <v>497</v>
      </c>
      <c r="E178" t="s">
        <v>487</v>
      </c>
      <c r="F178" t="s">
        <v>487</v>
      </c>
      <c r="G178" t="s">
        <v>487</v>
      </c>
      <c r="H178" t="s">
        <v>489</v>
      </c>
      <c r="I178" t="s">
        <v>489</v>
      </c>
    </row>
    <row r="179" spans="1:9" x14ac:dyDescent="0.3">
      <c r="A179">
        <v>410100101</v>
      </c>
      <c r="B179" t="s">
        <v>492</v>
      </c>
      <c r="C179" t="s">
        <v>509</v>
      </c>
      <c r="D179" t="s">
        <v>510</v>
      </c>
      <c r="E179" t="s">
        <v>487</v>
      </c>
      <c r="F179" t="s">
        <v>487</v>
      </c>
      <c r="G179" t="s">
        <v>487</v>
      </c>
      <c r="H179" t="s">
        <v>480</v>
      </c>
      <c r="I179" t="s">
        <v>480</v>
      </c>
    </row>
    <row r="180" spans="1:9" x14ac:dyDescent="0.3">
      <c r="A180">
        <v>410100201</v>
      </c>
      <c r="B180" t="s">
        <v>492</v>
      </c>
      <c r="C180" t="s">
        <v>509</v>
      </c>
      <c r="D180" t="s">
        <v>510</v>
      </c>
      <c r="E180" t="s">
        <v>487</v>
      </c>
      <c r="F180" t="s">
        <v>487</v>
      </c>
      <c r="G180" t="s">
        <v>487</v>
      </c>
      <c r="H180" t="s">
        <v>500</v>
      </c>
      <c r="I180" t="s">
        <v>500</v>
      </c>
    </row>
    <row r="181" spans="1:9" x14ac:dyDescent="0.3">
      <c r="A181">
        <v>410117031</v>
      </c>
      <c r="B181" t="s">
        <v>492</v>
      </c>
      <c r="C181" t="s">
        <v>529</v>
      </c>
      <c r="D181" t="s">
        <v>530</v>
      </c>
      <c r="E181" t="s">
        <v>487</v>
      </c>
      <c r="F181" t="s">
        <v>487</v>
      </c>
      <c r="G181" t="s">
        <v>487</v>
      </c>
      <c r="H181" t="s">
        <v>529</v>
      </c>
      <c r="I181" t="s">
        <v>529</v>
      </c>
    </row>
    <row r="182" spans="1:9" x14ac:dyDescent="0.3">
      <c r="A182">
        <v>410121202</v>
      </c>
      <c r="B182" t="s">
        <v>492</v>
      </c>
      <c r="C182" t="s">
        <v>509</v>
      </c>
      <c r="D182" t="s">
        <v>511</v>
      </c>
      <c r="E182" t="s">
        <v>487</v>
      </c>
      <c r="F182" t="s">
        <v>487</v>
      </c>
      <c r="G182" t="s">
        <v>487</v>
      </c>
      <c r="H182" t="s">
        <v>485</v>
      </c>
      <c r="I182" t="s">
        <v>485</v>
      </c>
    </row>
    <row r="183" spans="1:9" x14ac:dyDescent="0.3">
      <c r="A183">
        <v>410130404</v>
      </c>
      <c r="B183" t="s">
        <v>492</v>
      </c>
      <c r="C183" t="s">
        <v>501</v>
      </c>
      <c r="D183" t="s">
        <v>541</v>
      </c>
      <c r="E183" t="s">
        <v>487</v>
      </c>
      <c r="F183" t="s">
        <v>487</v>
      </c>
      <c r="G183" t="s">
        <v>487</v>
      </c>
      <c r="H183" t="s">
        <v>500</v>
      </c>
      <c r="I183" t="s">
        <v>500</v>
      </c>
    </row>
    <row r="184" spans="1:9" x14ac:dyDescent="0.3">
      <c r="A184">
        <v>410130504</v>
      </c>
      <c r="B184" t="s">
        <v>492</v>
      </c>
      <c r="C184" t="s">
        <v>501</v>
      </c>
      <c r="D184" t="s">
        <v>541</v>
      </c>
      <c r="E184" t="s">
        <v>487</v>
      </c>
      <c r="F184" t="s">
        <v>487</v>
      </c>
      <c r="G184" t="s">
        <v>487</v>
      </c>
      <c r="H184" t="s">
        <v>500</v>
      </c>
      <c r="I184" t="s">
        <v>500</v>
      </c>
    </row>
    <row r="185" spans="1:9" x14ac:dyDescent="0.3">
      <c r="A185">
        <v>410141504</v>
      </c>
      <c r="B185" t="s">
        <v>531</v>
      </c>
      <c r="C185" t="s">
        <v>542</v>
      </c>
      <c r="D185" t="s">
        <v>543</v>
      </c>
      <c r="E185" t="s">
        <v>487</v>
      </c>
      <c r="F185" t="s">
        <v>487</v>
      </c>
      <c r="G185" t="s">
        <v>487</v>
      </c>
      <c r="H185" t="s">
        <v>485</v>
      </c>
      <c r="I185" t="s">
        <v>485</v>
      </c>
    </row>
    <row r="186" spans="1:9" x14ac:dyDescent="0.3">
      <c r="A186">
        <v>410141604</v>
      </c>
      <c r="B186" t="s">
        <v>531</v>
      </c>
      <c r="C186" t="s">
        <v>542</v>
      </c>
      <c r="D186" t="s">
        <v>543</v>
      </c>
      <c r="E186" t="s">
        <v>487</v>
      </c>
      <c r="F186" t="s">
        <v>487</v>
      </c>
      <c r="G186" t="s">
        <v>487</v>
      </c>
      <c r="H186" t="s">
        <v>485</v>
      </c>
      <c r="I186" t="s">
        <v>485</v>
      </c>
    </row>
    <row r="187" spans="1:9" x14ac:dyDescent="0.3">
      <c r="A187">
        <v>410290257</v>
      </c>
      <c r="B187" t="s">
        <v>492</v>
      </c>
      <c r="C187" t="s">
        <v>496</v>
      </c>
      <c r="D187" t="s">
        <v>497</v>
      </c>
      <c r="E187" t="s">
        <v>487</v>
      </c>
      <c r="F187" t="s">
        <v>487</v>
      </c>
      <c r="G187" t="s">
        <v>487</v>
      </c>
      <c r="H187" t="s">
        <v>480</v>
      </c>
      <c r="I187" t="s">
        <v>480</v>
      </c>
    </row>
    <row r="188" spans="1:9" x14ac:dyDescent="0.3">
      <c r="A188">
        <v>415024724</v>
      </c>
      <c r="B188" t="s">
        <v>476</v>
      </c>
      <c r="C188" t="s">
        <v>481</v>
      </c>
      <c r="D188" t="s">
        <v>490</v>
      </c>
      <c r="E188" t="s">
        <v>487</v>
      </c>
      <c r="F188" t="s">
        <v>487</v>
      </c>
      <c r="G188" t="s">
        <v>487</v>
      </c>
      <c r="H188" t="s">
        <v>500</v>
      </c>
      <c r="I188" t="s">
        <v>487</v>
      </c>
    </row>
    <row r="189" spans="1:9" x14ac:dyDescent="0.3">
      <c r="A189">
        <v>415024789</v>
      </c>
      <c r="B189" t="s">
        <v>476</v>
      </c>
      <c r="C189" t="s">
        <v>481</v>
      </c>
      <c r="D189" t="s">
        <v>490</v>
      </c>
      <c r="E189" t="s">
        <v>487</v>
      </c>
      <c r="F189" t="s">
        <v>487</v>
      </c>
      <c r="G189" t="s">
        <v>487</v>
      </c>
      <c r="H189" t="s">
        <v>500</v>
      </c>
      <c r="I189" t="s">
        <v>500</v>
      </c>
    </row>
    <row r="190" spans="1:9" x14ac:dyDescent="0.3">
      <c r="A190">
        <v>415025653</v>
      </c>
      <c r="B190" t="s">
        <v>476</v>
      </c>
      <c r="C190" t="s">
        <v>477</v>
      </c>
      <c r="D190" t="s">
        <v>486</v>
      </c>
      <c r="E190" t="s">
        <v>487</v>
      </c>
      <c r="F190" t="s">
        <v>487</v>
      </c>
      <c r="G190" t="s">
        <v>487</v>
      </c>
      <c r="H190" t="s">
        <v>500</v>
      </c>
      <c r="I190" t="s">
        <v>500</v>
      </c>
    </row>
    <row r="191" spans="1:9" x14ac:dyDescent="0.3">
      <c r="A191">
        <v>410010019</v>
      </c>
      <c r="B191" t="s">
        <v>476</v>
      </c>
      <c r="C191" t="s">
        <v>477</v>
      </c>
      <c r="D191" t="s">
        <v>488</v>
      </c>
      <c r="E191" t="s">
        <v>487</v>
      </c>
      <c r="F191" t="s">
        <v>487</v>
      </c>
      <c r="G191" t="s">
        <v>487</v>
      </c>
      <c r="H191" t="s">
        <v>487</v>
      </c>
      <c r="I191" t="s">
        <v>487</v>
      </c>
    </row>
    <row r="192" spans="1:9" x14ac:dyDescent="0.3">
      <c r="A192">
        <v>410014701</v>
      </c>
      <c r="B192" t="s">
        <v>476</v>
      </c>
      <c r="C192" t="s">
        <v>481</v>
      </c>
      <c r="D192" t="s">
        <v>482</v>
      </c>
      <c r="E192" t="s">
        <v>487</v>
      </c>
      <c r="F192" t="s">
        <v>487</v>
      </c>
      <c r="G192" t="s">
        <v>487</v>
      </c>
      <c r="H192" t="s">
        <v>487</v>
      </c>
      <c r="I192" t="s">
        <v>487</v>
      </c>
    </row>
    <row r="193" spans="1:9" x14ac:dyDescent="0.3">
      <c r="A193">
        <v>410015620</v>
      </c>
      <c r="B193" t="s">
        <v>476</v>
      </c>
      <c r="C193" t="s">
        <v>477</v>
      </c>
      <c r="D193" t="s">
        <v>478</v>
      </c>
      <c r="E193" t="s">
        <v>487</v>
      </c>
      <c r="F193" t="s">
        <v>487</v>
      </c>
      <c r="G193" t="s">
        <v>487</v>
      </c>
      <c r="H193" t="s">
        <v>487</v>
      </c>
      <c r="I193" t="s">
        <v>487</v>
      </c>
    </row>
    <row r="194" spans="1:9" x14ac:dyDescent="0.3">
      <c r="A194">
        <v>410015621</v>
      </c>
      <c r="B194" t="s">
        <v>476</v>
      </c>
      <c r="C194" t="s">
        <v>477</v>
      </c>
      <c r="D194" t="s">
        <v>478</v>
      </c>
      <c r="E194" t="s">
        <v>487</v>
      </c>
      <c r="F194" t="s">
        <v>487</v>
      </c>
      <c r="G194" t="s">
        <v>487</v>
      </c>
      <c r="H194" t="s">
        <v>487</v>
      </c>
      <c r="I194" t="s">
        <v>487</v>
      </c>
    </row>
    <row r="195" spans="1:9" x14ac:dyDescent="0.3">
      <c r="A195">
        <v>410015622</v>
      </c>
      <c r="B195" t="s">
        <v>476</v>
      </c>
      <c r="C195" t="s">
        <v>477</v>
      </c>
      <c r="D195" t="s">
        <v>478</v>
      </c>
      <c r="E195" t="s">
        <v>487</v>
      </c>
      <c r="F195" t="s">
        <v>487</v>
      </c>
      <c r="G195" t="s">
        <v>487</v>
      </c>
      <c r="H195" t="s">
        <v>487</v>
      </c>
      <c r="I195" t="s">
        <v>487</v>
      </c>
    </row>
    <row r="196" spans="1:9" x14ac:dyDescent="0.3">
      <c r="A196">
        <v>410022042</v>
      </c>
      <c r="B196" t="s">
        <v>476</v>
      </c>
      <c r="C196" t="s">
        <v>538</v>
      </c>
      <c r="D196" t="s">
        <v>539</v>
      </c>
      <c r="E196" t="s">
        <v>487</v>
      </c>
      <c r="F196" t="s">
        <v>487</v>
      </c>
      <c r="G196" t="s">
        <v>487</v>
      </c>
      <c r="H196" t="s">
        <v>487</v>
      </c>
      <c r="I196" t="s">
        <v>487</v>
      </c>
    </row>
    <row r="197" spans="1:9" x14ac:dyDescent="0.3">
      <c r="A197">
        <v>410024712</v>
      </c>
      <c r="B197" t="s">
        <v>476</v>
      </c>
      <c r="C197" t="s">
        <v>481</v>
      </c>
      <c r="D197" t="s">
        <v>490</v>
      </c>
      <c r="E197" t="s">
        <v>487</v>
      </c>
      <c r="F197" t="s">
        <v>487</v>
      </c>
      <c r="G197" t="s">
        <v>487</v>
      </c>
      <c r="H197" t="s">
        <v>487</v>
      </c>
      <c r="I197" t="s">
        <v>487</v>
      </c>
    </row>
    <row r="198" spans="1:9" x14ac:dyDescent="0.3">
      <c r="A198">
        <v>410024789</v>
      </c>
      <c r="B198" t="s">
        <v>476</v>
      </c>
      <c r="C198" t="s">
        <v>481</v>
      </c>
      <c r="D198" t="s">
        <v>490</v>
      </c>
      <c r="E198" t="s">
        <v>487</v>
      </c>
      <c r="F198" t="s">
        <v>487</v>
      </c>
      <c r="G198" t="s">
        <v>487</v>
      </c>
      <c r="H198" t="s">
        <v>487</v>
      </c>
      <c r="I198" t="s">
        <v>487</v>
      </c>
    </row>
    <row r="199" spans="1:9" x14ac:dyDescent="0.3">
      <c r="A199">
        <v>410026242</v>
      </c>
      <c r="B199" t="s">
        <v>476</v>
      </c>
      <c r="C199" t="s">
        <v>483</v>
      </c>
      <c r="D199" t="s">
        <v>504</v>
      </c>
      <c r="E199" t="s">
        <v>487</v>
      </c>
      <c r="F199" t="s">
        <v>487</v>
      </c>
      <c r="G199" t="s">
        <v>487</v>
      </c>
      <c r="H199" t="s">
        <v>487</v>
      </c>
      <c r="I199" t="s">
        <v>487</v>
      </c>
    </row>
    <row r="200" spans="1:9" x14ac:dyDescent="0.3">
      <c r="A200">
        <v>410026710</v>
      </c>
      <c r="B200" t="s">
        <v>476</v>
      </c>
      <c r="C200" t="s">
        <v>481</v>
      </c>
      <c r="D200" t="s">
        <v>490</v>
      </c>
      <c r="E200" t="s">
        <v>487</v>
      </c>
      <c r="F200" t="s">
        <v>487</v>
      </c>
      <c r="G200" t="s">
        <v>487</v>
      </c>
      <c r="H200" t="s">
        <v>487</v>
      </c>
      <c r="I200" t="s">
        <v>487</v>
      </c>
    </row>
    <row r="201" spans="1:9" x14ac:dyDescent="0.3">
      <c r="A201">
        <v>410030501</v>
      </c>
      <c r="B201" t="s">
        <v>492</v>
      </c>
      <c r="C201" t="s">
        <v>520</v>
      </c>
      <c r="E201" t="s">
        <v>487</v>
      </c>
      <c r="F201" t="s">
        <v>487</v>
      </c>
      <c r="G201" t="s">
        <v>487</v>
      </c>
      <c r="H201" t="s">
        <v>487</v>
      </c>
      <c r="I201" t="s">
        <v>487</v>
      </c>
    </row>
    <row r="202" spans="1:9" x14ac:dyDescent="0.3">
      <c r="A202">
        <v>410030503</v>
      </c>
      <c r="B202" t="s">
        <v>492</v>
      </c>
      <c r="C202" t="s">
        <v>520</v>
      </c>
      <c r="E202" t="s">
        <v>487</v>
      </c>
      <c r="F202" t="s">
        <v>487</v>
      </c>
      <c r="G202" t="s">
        <v>487</v>
      </c>
      <c r="H202" t="s">
        <v>487</v>
      </c>
      <c r="I202" t="s">
        <v>487</v>
      </c>
    </row>
    <row r="203" spans="1:9" x14ac:dyDescent="0.3">
      <c r="A203">
        <v>410041547</v>
      </c>
      <c r="B203" t="s">
        <v>492</v>
      </c>
      <c r="C203" t="s">
        <v>493</v>
      </c>
      <c r="D203" t="s">
        <v>494</v>
      </c>
      <c r="E203" t="s">
        <v>487</v>
      </c>
      <c r="F203" t="s">
        <v>487</v>
      </c>
      <c r="G203" t="s">
        <v>487</v>
      </c>
      <c r="H203" t="s">
        <v>487</v>
      </c>
      <c r="I203" t="s">
        <v>487</v>
      </c>
    </row>
    <row r="204" spans="1:9" x14ac:dyDescent="0.3">
      <c r="A204">
        <v>410042947</v>
      </c>
      <c r="B204" t="s">
        <v>492</v>
      </c>
      <c r="C204" t="s">
        <v>493</v>
      </c>
      <c r="D204" t="s">
        <v>494</v>
      </c>
      <c r="E204" t="s">
        <v>487</v>
      </c>
      <c r="F204" t="s">
        <v>487</v>
      </c>
      <c r="G204" t="s">
        <v>487</v>
      </c>
      <c r="H204" t="s">
        <v>487</v>
      </c>
      <c r="I204" t="s">
        <v>487</v>
      </c>
    </row>
    <row r="205" spans="1:9" x14ac:dyDescent="0.3">
      <c r="A205">
        <v>410050010</v>
      </c>
      <c r="B205" t="s">
        <v>492</v>
      </c>
      <c r="C205" t="s">
        <v>505</v>
      </c>
      <c r="E205" t="s">
        <v>487</v>
      </c>
      <c r="F205" t="s">
        <v>487</v>
      </c>
      <c r="G205" t="s">
        <v>487</v>
      </c>
      <c r="H205" t="s">
        <v>487</v>
      </c>
      <c r="I205" t="s">
        <v>487</v>
      </c>
    </row>
    <row r="206" spans="1:9" x14ac:dyDescent="0.3">
      <c r="A206">
        <v>410060101</v>
      </c>
      <c r="B206" t="s">
        <v>492</v>
      </c>
      <c r="C206" t="s">
        <v>526</v>
      </c>
      <c r="D206" t="s">
        <v>526</v>
      </c>
      <c r="E206" t="s">
        <v>487</v>
      </c>
      <c r="F206" t="s">
        <v>487</v>
      </c>
      <c r="G206" t="s">
        <v>487</v>
      </c>
      <c r="H206" t="s">
        <v>487</v>
      </c>
      <c r="I206" t="s">
        <v>487</v>
      </c>
    </row>
    <row r="207" spans="1:9" x14ac:dyDescent="0.3">
      <c r="A207">
        <v>410060102</v>
      </c>
      <c r="B207" t="s">
        <v>492</v>
      </c>
      <c r="C207" t="s">
        <v>526</v>
      </c>
      <c r="D207" t="s">
        <v>526</v>
      </c>
      <c r="E207" t="s">
        <v>487</v>
      </c>
      <c r="F207" t="s">
        <v>487</v>
      </c>
      <c r="G207" t="s">
        <v>487</v>
      </c>
      <c r="H207" t="s">
        <v>487</v>
      </c>
      <c r="I207" t="s">
        <v>487</v>
      </c>
    </row>
    <row r="208" spans="1:9" x14ac:dyDescent="0.3">
      <c r="A208">
        <v>410060201</v>
      </c>
      <c r="B208" t="s">
        <v>492</v>
      </c>
      <c r="C208" t="s">
        <v>526</v>
      </c>
      <c r="D208" t="s">
        <v>526</v>
      </c>
      <c r="E208" t="s">
        <v>487</v>
      </c>
      <c r="F208" t="s">
        <v>487</v>
      </c>
      <c r="G208" t="s">
        <v>487</v>
      </c>
      <c r="H208" t="s">
        <v>487</v>
      </c>
      <c r="I208" t="s">
        <v>487</v>
      </c>
    </row>
    <row r="209" spans="1:9" x14ac:dyDescent="0.3">
      <c r="A209">
        <v>410060301</v>
      </c>
      <c r="B209" t="s">
        <v>492</v>
      </c>
      <c r="C209" t="s">
        <v>526</v>
      </c>
      <c r="D209" t="s">
        <v>526</v>
      </c>
      <c r="E209" t="s">
        <v>487</v>
      </c>
      <c r="F209" t="s">
        <v>487</v>
      </c>
      <c r="G209" t="s">
        <v>487</v>
      </c>
      <c r="H209" t="s">
        <v>487</v>
      </c>
      <c r="I209" t="s">
        <v>487</v>
      </c>
    </row>
    <row r="210" spans="1:9" x14ac:dyDescent="0.3">
      <c r="A210">
        <v>410060302</v>
      </c>
      <c r="B210" t="s">
        <v>492</v>
      </c>
      <c r="C210" t="s">
        <v>526</v>
      </c>
      <c r="D210" t="s">
        <v>526</v>
      </c>
      <c r="E210" t="s">
        <v>487</v>
      </c>
      <c r="F210" t="s">
        <v>487</v>
      </c>
      <c r="G210" t="s">
        <v>487</v>
      </c>
      <c r="H210" t="s">
        <v>487</v>
      </c>
      <c r="I210" t="s">
        <v>487</v>
      </c>
    </row>
    <row r="211" spans="1:9" x14ac:dyDescent="0.3">
      <c r="A211">
        <v>410060406</v>
      </c>
      <c r="B211" t="s">
        <v>492</v>
      </c>
      <c r="C211" t="s">
        <v>526</v>
      </c>
      <c r="D211" t="s">
        <v>526</v>
      </c>
      <c r="E211" t="s">
        <v>487</v>
      </c>
      <c r="F211" t="s">
        <v>487</v>
      </c>
      <c r="G211" t="s">
        <v>487</v>
      </c>
      <c r="H211" t="s">
        <v>487</v>
      </c>
      <c r="I211" t="s">
        <v>487</v>
      </c>
    </row>
    <row r="212" spans="1:9" x14ac:dyDescent="0.3">
      <c r="A212">
        <v>410075505</v>
      </c>
      <c r="B212" t="s">
        <v>492</v>
      </c>
      <c r="C212" t="s">
        <v>496</v>
      </c>
      <c r="D212" t="s">
        <v>513</v>
      </c>
      <c r="E212" t="s">
        <v>487</v>
      </c>
      <c r="F212" t="s">
        <v>487</v>
      </c>
      <c r="G212" t="s">
        <v>487</v>
      </c>
      <c r="H212" t="s">
        <v>487</v>
      </c>
      <c r="I212" t="s">
        <v>487</v>
      </c>
    </row>
    <row r="213" spans="1:9" x14ac:dyDescent="0.3">
      <c r="A213">
        <v>410080100</v>
      </c>
      <c r="B213" t="s">
        <v>476</v>
      </c>
      <c r="C213" t="s">
        <v>481</v>
      </c>
      <c r="D213" t="s">
        <v>544</v>
      </c>
      <c r="E213" t="s">
        <v>487</v>
      </c>
      <c r="F213" t="s">
        <v>487</v>
      </c>
      <c r="G213" t="s">
        <v>487</v>
      </c>
      <c r="H213" t="s">
        <v>487</v>
      </c>
      <c r="I213" t="s">
        <v>487</v>
      </c>
    </row>
    <row r="214" spans="1:9" x14ac:dyDescent="0.3">
      <c r="A214">
        <v>410090202</v>
      </c>
      <c r="B214" t="s">
        <v>492</v>
      </c>
      <c r="C214" t="s">
        <v>496</v>
      </c>
      <c r="D214" t="s">
        <v>497</v>
      </c>
      <c r="E214" t="s">
        <v>487</v>
      </c>
      <c r="F214" t="s">
        <v>487</v>
      </c>
      <c r="G214" t="s">
        <v>487</v>
      </c>
      <c r="H214" t="s">
        <v>487</v>
      </c>
      <c r="I214" t="s">
        <v>489</v>
      </c>
    </row>
    <row r="215" spans="1:9" x14ac:dyDescent="0.3">
      <c r="A215">
        <v>410090206</v>
      </c>
      <c r="B215" t="s">
        <v>492</v>
      </c>
      <c r="C215" t="s">
        <v>496</v>
      </c>
      <c r="D215" t="s">
        <v>497</v>
      </c>
      <c r="E215" t="s">
        <v>487</v>
      </c>
      <c r="F215" t="s">
        <v>487</v>
      </c>
      <c r="G215" t="s">
        <v>487</v>
      </c>
      <c r="H215" t="s">
        <v>487</v>
      </c>
      <c r="I215" t="s">
        <v>487</v>
      </c>
    </row>
    <row r="216" spans="1:9" x14ac:dyDescent="0.3">
      <c r="A216">
        <v>410121102</v>
      </c>
      <c r="B216" t="s">
        <v>492</v>
      </c>
      <c r="C216" t="s">
        <v>509</v>
      </c>
      <c r="D216" t="s">
        <v>511</v>
      </c>
      <c r="E216" t="s">
        <v>487</v>
      </c>
      <c r="F216" t="s">
        <v>487</v>
      </c>
      <c r="G216" t="s">
        <v>487</v>
      </c>
      <c r="H216" t="s">
        <v>487</v>
      </c>
      <c r="I216" t="s">
        <v>485</v>
      </c>
    </row>
    <row r="217" spans="1:9" x14ac:dyDescent="0.3">
      <c r="A217">
        <v>410121302</v>
      </c>
      <c r="B217" t="s">
        <v>492</v>
      </c>
      <c r="C217" t="s">
        <v>509</v>
      </c>
      <c r="D217" t="s">
        <v>511</v>
      </c>
      <c r="E217" t="s">
        <v>487</v>
      </c>
      <c r="F217" t="s">
        <v>487</v>
      </c>
      <c r="G217" t="s">
        <v>487</v>
      </c>
      <c r="H217" t="s">
        <v>487</v>
      </c>
      <c r="I217" t="s">
        <v>485</v>
      </c>
    </row>
    <row r="218" spans="1:9" x14ac:dyDescent="0.3">
      <c r="A218">
        <v>410250155</v>
      </c>
      <c r="B218" t="s">
        <v>492</v>
      </c>
      <c r="C218" t="s">
        <v>498</v>
      </c>
      <c r="D218" t="s">
        <v>499</v>
      </c>
      <c r="E218" t="s">
        <v>487</v>
      </c>
      <c r="F218" t="s">
        <v>487</v>
      </c>
      <c r="G218" t="s">
        <v>487</v>
      </c>
      <c r="H218" t="s">
        <v>487</v>
      </c>
      <c r="I218" t="s">
        <v>487</v>
      </c>
    </row>
    <row r="219" spans="1:9" x14ac:dyDescent="0.3">
      <c r="A219">
        <v>410250955</v>
      </c>
      <c r="B219" t="s">
        <v>492</v>
      </c>
      <c r="C219" t="s">
        <v>498</v>
      </c>
      <c r="D219" t="s">
        <v>499</v>
      </c>
      <c r="E219" t="s">
        <v>487</v>
      </c>
      <c r="F219" t="s">
        <v>487</v>
      </c>
      <c r="G219" t="s">
        <v>487</v>
      </c>
      <c r="H219" t="s">
        <v>487</v>
      </c>
      <c r="I219" t="s">
        <v>487</v>
      </c>
    </row>
    <row r="220" spans="1:9" x14ac:dyDescent="0.3">
      <c r="A220">
        <v>410251155</v>
      </c>
      <c r="B220" t="s">
        <v>492</v>
      </c>
      <c r="C220" t="s">
        <v>498</v>
      </c>
      <c r="D220" t="s">
        <v>499</v>
      </c>
      <c r="E220" t="s">
        <v>487</v>
      </c>
      <c r="F220" t="s">
        <v>487</v>
      </c>
      <c r="G220" t="s">
        <v>487</v>
      </c>
      <c r="H220" t="s">
        <v>487</v>
      </c>
      <c r="I220" t="s">
        <v>487</v>
      </c>
    </row>
    <row r="221" spans="1:9" x14ac:dyDescent="0.3">
      <c r="A221">
        <v>410251255</v>
      </c>
      <c r="B221" t="s">
        <v>492</v>
      </c>
      <c r="C221" t="s">
        <v>498</v>
      </c>
      <c r="D221" t="s">
        <v>499</v>
      </c>
      <c r="E221" t="s">
        <v>487</v>
      </c>
      <c r="F221" t="s">
        <v>487</v>
      </c>
      <c r="G221" t="s">
        <v>487</v>
      </c>
      <c r="H221" t="s">
        <v>487</v>
      </c>
      <c r="I221" t="s">
        <v>487</v>
      </c>
    </row>
    <row r="222" spans="1:9" x14ac:dyDescent="0.3">
      <c r="A222">
        <v>410251855</v>
      </c>
      <c r="B222" t="s">
        <v>492</v>
      </c>
      <c r="C222" t="s">
        <v>498</v>
      </c>
      <c r="D222" t="s">
        <v>499</v>
      </c>
      <c r="E222" t="s">
        <v>487</v>
      </c>
      <c r="F222" t="s">
        <v>487</v>
      </c>
      <c r="G222" t="s">
        <v>487</v>
      </c>
      <c r="H222" t="s">
        <v>487</v>
      </c>
      <c r="I222" t="s">
        <v>487</v>
      </c>
    </row>
    <row r="223" spans="1:9" x14ac:dyDescent="0.3">
      <c r="A223">
        <v>410290261</v>
      </c>
      <c r="B223" t="s">
        <v>492</v>
      </c>
      <c r="C223" t="s">
        <v>529</v>
      </c>
      <c r="D223" t="s">
        <v>545</v>
      </c>
      <c r="E223" t="s">
        <v>487</v>
      </c>
      <c r="F223" t="s">
        <v>487</v>
      </c>
      <c r="G223" t="s">
        <v>487</v>
      </c>
      <c r="H223" t="s">
        <v>487</v>
      </c>
      <c r="I223" t="s">
        <v>487</v>
      </c>
    </row>
    <row r="224" spans="1:9" x14ac:dyDescent="0.3">
      <c r="A224">
        <v>410292861</v>
      </c>
      <c r="B224" t="s">
        <v>492</v>
      </c>
      <c r="C224" t="s">
        <v>529</v>
      </c>
      <c r="D224" t="s">
        <v>545</v>
      </c>
      <c r="E224" t="s">
        <v>487</v>
      </c>
      <c r="F224" t="s">
        <v>487</v>
      </c>
      <c r="G224" t="s">
        <v>487</v>
      </c>
      <c r="H224" t="s">
        <v>487</v>
      </c>
      <c r="I224" t="s">
        <v>487</v>
      </c>
    </row>
    <row r="225" spans="1:9" x14ac:dyDescent="0.3">
      <c r="A225">
        <v>410310096</v>
      </c>
      <c r="B225" t="s">
        <v>492</v>
      </c>
      <c r="C225" t="s">
        <v>501</v>
      </c>
      <c r="D225" t="s">
        <v>536</v>
      </c>
      <c r="E225" t="s">
        <v>487</v>
      </c>
      <c r="F225" t="s">
        <v>487</v>
      </c>
      <c r="G225" t="s">
        <v>487</v>
      </c>
      <c r="H225" t="s">
        <v>487</v>
      </c>
      <c r="I225" t="s">
        <v>487</v>
      </c>
    </row>
    <row r="226" spans="1:9" x14ac:dyDescent="0.3">
      <c r="A226">
        <v>410310196</v>
      </c>
      <c r="B226" t="s">
        <v>492</v>
      </c>
      <c r="C226" t="s">
        <v>501</v>
      </c>
      <c r="D226" t="s">
        <v>536</v>
      </c>
      <c r="E226" t="s">
        <v>487</v>
      </c>
      <c r="F226" t="s">
        <v>487</v>
      </c>
      <c r="G226" t="s">
        <v>487</v>
      </c>
      <c r="H226" t="s">
        <v>487</v>
      </c>
      <c r="I226" t="s">
        <v>487</v>
      </c>
    </row>
    <row r="227" spans="1:9" x14ac:dyDescent="0.3">
      <c r="A227">
        <v>410330100</v>
      </c>
      <c r="B227" t="s">
        <v>492</v>
      </c>
      <c r="C227" t="s">
        <v>509</v>
      </c>
      <c r="D227" t="s">
        <v>546</v>
      </c>
      <c r="E227" t="s">
        <v>487</v>
      </c>
      <c r="F227" t="s">
        <v>487</v>
      </c>
      <c r="G227" t="s">
        <v>487</v>
      </c>
      <c r="H227" t="s">
        <v>487</v>
      </c>
      <c r="I227" t="s">
        <v>489</v>
      </c>
    </row>
    <row r="228" spans="1:9" x14ac:dyDescent="0.3">
      <c r="A228">
        <v>410330200</v>
      </c>
      <c r="B228" t="s">
        <v>492</v>
      </c>
      <c r="C228" t="s">
        <v>509</v>
      </c>
      <c r="D228" t="s">
        <v>546</v>
      </c>
      <c r="E228" t="s">
        <v>487</v>
      </c>
      <c r="F228" t="s">
        <v>487</v>
      </c>
      <c r="G228" t="s">
        <v>487</v>
      </c>
      <c r="H228" t="s">
        <v>487</v>
      </c>
      <c r="I228" t="s">
        <v>489</v>
      </c>
    </row>
    <row r="229" spans="1:9" x14ac:dyDescent="0.3">
      <c r="A229">
        <v>410330201</v>
      </c>
      <c r="B229" t="s">
        <v>492</v>
      </c>
      <c r="C229" t="s">
        <v>509</v>
      </c>
      <c r="D229" t="s">
        <v>546</v>
      </c>
      <c r="E229" t="s">
        <v>487</v>
      </c>
      <c r="F229" t="s">
        <v>487</v>
      </c>
      <c r="G229" t="s">
        <v>487</v>
      </c>
      <c r="H229" t="s">
        <v>487</v>
      </c>
      <c r="I229" t="s">
        <v>489</v>
      </c>
    </row>
    <row r="230" spans="1:9" x14ac:dyDescent="0.3">
      <c r="A230">
        <v>410330300</v>
      </c>
      <c r="B230" t="s">
        <v>492</v>
      </c>
      <c r="C230" t="s">
        <v>509</v>
      </c>
      <c r="D230" t="s">
        <v>546</v>
      </c>
      <c r="E230" t="s">
        <v>487</v>
      </c>
      <c r="F230" t="s">
        <v>487</v>
      </c>
      <c r="G230" t="s">
        <v>487</v>
      </c>
      <c r="H230" t="s">
        <v>487</v>
      </c>
      <c r="I230" t="s">
        <v>487</v>
      </c>
    </row>
    <row r="231" spans="1:9" x14ac:dyDescent="0.3">
      <c r="A231">
        <v>410330666</v>
      </c>
      <c r="B231" t="s">
        <v>492</v>
      </c>
      <c r="C231" t="s">
        <v>509</v>
      </c>
      <c r="D231" t="s">
        <v>546</v>
      </c>
      <c r="E231" t="s">
        <v>487</v>
      </c>
      <c r="F231" t="s">
        <v>487</v>
      </c>
      <c r="G231" t="s">
        <v>487</v>
      </c>
      <c r="H231" t="s">
        <v>487</v>
      </c>
      <c r="I231" t="s">
        <v>487</v>
      </c>
    </row>
    <row r="232" spans="1:9" x14ac:dyDescent="0.3">
      <c r="A232">
        <v>410330667</v>
      </c>
      <c r="B232" t="s">
        <v>492</v>
      </c>
      <c r="C232" t="s">
        <v>509</v>
      </c>
      <c r="D232" t="s">
        <v>546</v>
      </c>
      <c r="E232" t="s">
        <v>487</v>
      </c>
      <c r="F232" t="s">
        <v>487</v>
      </c>
      <c r="G232" t="s">
        <v>487</v>
      </c>
      <c r="H232" t="s">
        <v>487</v>
      </c>
      <c r="I232" t="s">
        <v>487</v>
      </c>
    </row>
    <row r="233" spans="1:9" x14ac:dyDescent="0.3">
      <c r="A233">
        <v>410332668</v>
      </c>
      <c r="B233" t="s">
        <v>492</v>
      </c>
      <c r="C233" t="s">
        <v>509</v>
      </c>
      <c r="D233" t="s">
        <v>546</v>
      </c>
      <c r="E233" t="s">
        <v>487</v>
      </c>
      <c r="F233" t="s">
        <v>487</v>
      </c>
      <c r="G233" t="s">
        <v>487</v>
      </c>
      <c r="H233" t="s">
        <v>487</v>
      </c>
      <c r="I233" t="s">
        <v>487</v>
      </c>
    </row>
    <row r="234" spans="1:9" x14ac:dyDescent="0.3">
      <c r="A234">
        <v>410334388</v>
      </c>
      <c r="B234" t="s">
        <v>492</v>
      </c>
      <c r="C234" t="s">
        <v>509</v>
      </c>
      <c r="D234" t="s">
        <v>546</v>
      </c>
      <c r="E234" t="s">
        <v>487</v>
      </c>
      <c r="F234" t="s">
        <v>487</v>
      </c>
      <c r="G234" t="s">
        <v>487</v>
      </c>
      <c r="H234" t="s">
        <v>487</v>
      </c>
      <c r="I234" t="s">
        <v>489</v>
      </c>
    </row>
    <row r="235" spans="1:9" x14ac:dyDescent="0.3">
      <c r="A235">
        <v>410334488</v>
      </c>
      <c r="B235" t="s">
        <v>492</v>
      </c>
      <c r="C235" t="s">
        <v>509</v>
      </c>
      <c r="D235" t="s">
        <v>546</v>
      </c>
      <c r="E235" t="s">
        <v>487</v>
      </c>
      <c r="F235" t="s">
        <v>487</v>
      </c>
      <c r="G235" t="s">
        <v>487</v>
      </c>
      <c r="H235" t="s">
        <v>487</v>
      </c>
      <c r="I235" t="s">
        <v>487</v>
      </c>
    </row>
    <row r="236" spans="1:9" x14ac:dyDescent="0.3">
      <c r="A236">
        <v>410334588</v>
      </c>
      <c r="B236" t="s">
        <v>492</v>
      </c>
      <c r="C236" t="s">
        <v>509</v>
      </c>
      <c r="D236" t="s">
        <v>546</v>
      </c>
      <c r="E236" t="s">
        <v>487</v>
      </c>
      <c r="F236" t="s">
        <v>487</v>
      </c>
      <c r="G236" t="s">
        <v>487</v>
      </c>
      <c r="H236" t="s">
        <v>487</v>
      </c>
      <c r="I236" t="s">
        <v>489</v>
      </c>
    </row>
    <row r="237" spans="1:9" x14ac:dyDescent="0.3">
      <c r="A237">
        <v>410384895</v>
      </c>
      <c r="B237" t="s">
        <v>492</v>
      </c>
      <c r="C237" t="s">
        <v>505</v>
      </c>
      <c r="D237" t="s">
        <v>547</v>
      </c>
      <c r="E237" t="s">
        <v>487</v>
      </c>
      <c r="F237" t="s">
        <v>487</v>
      </c>
      <c r="G237" t="s">
        <v>487</v>
      </c>
      <c r="H237" t="s">
        <v>487</v>
      </c>
      <c r="I237" t="s">
        <v>489</v>
      </c>
    </row>
    <row r="238" spans="1:9" x14ac:dyDescent="0.3">
      <c r="A238">
        <v>410385195</v>
      </c>
      <c r="B238" t="s">
        <v>492</v>
      </c>
      <c r="C238" t="s">
        <v>505</v>
      </c>
      <c r="D238" t="s">
        <v>547</v>
      </c>
      <c r="E238" t="s">
        <v>487</v>
      </c>
      <c r="F238" t="s">
        <v>487</v>
      </c>
      <c r="G238" t="s">
        <v>487</v>
      </c>
      <c r="H238" t="s">
        <v>487</v>
      </c>
      <c r="I238" t="s">
        <v>489</v>
      </c>
    </row>
    <row r="239" spans="1:9" x14ac:dyDescent="0.3">
      <c r="A239">
        <v>410385295</v>
      </c>
      <c r="B239" t="s">
        <v>492</v>
      </c>
      <c r="C239" t="s">
        <v>505</v>
      </c>
      <c r="D239" t="s">
        <v>547</v>
      </c>
      <c r="E239" t="s">
        <v>487</v>
      </c>
      <c r="F239" t="s">
        <v>487</v>
      </c>
      <c r="G239" t="s">
        <v>487</v>
      </c>
      <c r="H239" t="s">
        <v>487</v>
      </c>
      <c r="I239" t="s">
        <v>489</v>
      </c>
    </row>
    <row r="240" spans="1:9" x14ac:dyDescent="0.3">
      <c r="A240">
        <v>410385395</v>
      </c>
      <c r="B240" t="s">
        <v>492</v>
      </c>
      <c r="C240" t="s">
        <v>505</v>
      </c>
      <c r="D240" t="s">
        <v>547</v>
      </c>
      <c r="E240" t="s">
        <v>487</v>
      </c>
      <c r="F240" t="s">
        <v>487</v>
      </c>
      <c r="G240" t="s">
        <v>487</v>
      </c>
      <c r="H240" t="s">
        <v>487</v>
      </c>
      <c r="I240" t="s">
        <v>489</v>
      </c>
    </row>
    <row r="241" spans="1:9" x14ac:dyDescent="0.3">
      <c r="A241">
        <v>410414711</v>
      </c>
      <c r="B241" t="s">
        <v>476</v>
      </c>
      <c r="C241" t="s">
        <v>481</v>
      </c>
      <c r="D241" t="s">
        <v>548</v>
      </c>
      <c r="E241" t="s">
        <v>487</v>
      </c>
      <c r="F241" t="s">
        <v>487</v>
      </c>
      <c r="G241" t="s">
        <v>487</v>
      </c>
      <c r="H241" t="s">
        <v>487</v>
      </c>
      <c r="I241" t="s">
        <v>489</v>
      </c>
    </row>
    <row r="242" spans="1:9" x14ac:dyDescent="0.3">
      <c r="A242">
        <v>410473405</v>
      </c>
      <c r="B242" t="s">
        <v>492</v>
      </c>
      <c r="C242" t="s">
        <v>529</v>
      </c>
      <c r="D242" t="s">
        <v>530</v>
      </c>
      <c r="E242" t="s">
        <v>487</v>
      </c>
      <c r="F242" t="s">
        <v>487</v>
      </c>
      <c r="G242" t="s">
        <v>487</v>
      </c>
      <c r="H242" t="s">
        <v>487</v>
      </c>
      <c r="I242" t="s">
        <v>487</v>
      </c>
    </row>
    <row r="243" spans="1:9" x14ac:dyDescent="0.3">
      <c r="A243">
        <v>410476905</v>
      </c>
      <c r="B243" t="s">
        <v>492</v>
      </c>
      <c r="C243" t="s">
        <v>529</v>
      </c>
      <c r="D243" t="s">
        <v>530</v>
      </c>
      <c r="E243" t="s">
        <v>487</v>
      </c>
      <c r="F243" t="s">
        <v>487</v>
      </c>
      <c r="G243" t="s">
        <v>487</v>
      </c>
      <c r="H243" t="s">
        <v>487</v>
      </c>
      <c r="I243" t="s">
        <v>487</v>
      </c>
    </row>
    <row r="244" spans="1:9" x14ac:dyDescent="0.3">
      <c r="A244">
        <v>412060106</v>
      </c>
      <c r="B244" t="s">
        <v>492</v>
      </c>
      <c r="C244" t="s">
        <v>526</v>
      </c>
      <c r="D244" t="s">
        <v>526</v>
      </c>
      <c r="E244" t="s">
        <v>487</v>
      </c>
      <c r="F244" t="s">
        <v>487</v>
      </c>
      <c r="G244" t="s">
        <v>487</v>
      </c>
      <c r="H244" t="s">
        <v>487</v>
      </c>
      <c r="I244" t="s">
        <v>487</v>
      </c>
    </row>
    <row r="245" spans="1:9" x14ac:dyDescent="0.3">
      <c r="A245">
        <v>412060206</v>
      </c>
      <c r="B245" t="s">
        <v>492</v>
      </c>
      <c r="C245" t="s">
        <v>526</v>
      </c>
      <c r="D245" t="s">
        <v>526</v>
      </c>
      <c r="E245" t="s">
        <v>487</v>
      </c>
      <c r="F245" t="s">
        <v>487</v>
      </c>
      <c r="G245" t="s">
        <v>487</v>
      </c>
      <c r="H245" t="s">
        <v>487</v>
      </c>
      <c r="I245" t="s">
        <v>487</v>
      </c>
    </row>
    <row r="246" spans="1:9" x14ac:dyDescent="0.3">
      <c r="A246">
        <v>412060306</v>
      </c>
      <c r="B246" t="s">
        <v>492</v>
      </c>
      <c r="C246" t="s">
        <v>526</v>
      </c>
      <c r="D246" t="s">
        <v>526</v>
      </c>
      <c r="E246" t="s">
        <v>487</v>
      </c>
      <c r="F246" t="s">
        <v>487</v>
      </c>
      <c r="G246" t="s">
        <v>487</v>
      </c>
      <c r="H246" t="s">
        <v>487</v>
      </c>
      <c r="I246" t="s">
        <v>487</v>
      </c>
    </row>
    <row r="247" spans="1:9" x14ac:dyDescent="0.3">
      <c r="A247">
        <v>412060307</v>
      </c>
      <c r="B247" t="s">
        <v>492</v>
      </c>
      <c r="C247" t="s">
        <v>526</v>
      </c>
      <c r="D247" t="s">
        <v>526</v>
      </c>
      <c r="E247" t="s">
        <v>487</v>
      </c>
      <c r="F247" t="s">
        <v>487</v>
      </c>
      <c r="G247" t="s">
        <v>487</v>
      </c>
      <c r="H247" t="s">
        <v>487</v>
      </c>
      <c r="I247" t="s">
        <v>487</v>
      </c>
    </row>
    <row r="248" spans="1:9" x14ac:dyDescent="0.3">
      <c r="A248">
        <v>412063706</v>
      </c>
      <c r="B248" t="s">
        <v>492</v>
      </c>
      <c r="C248" t="s">
        <v>526</v>
      </c>
      <c r="D248" t="s">
        <v>526</v>
      </c>
      <c r="E248" t="s">
        <v>487</v>
      </c>
      <c r="F248" t="s">
        <v>487</v>
      </c>
      <c r="G248" t="s">
        <v>487</v>
      </c>
      <c r="H248" t="s">
        <v>487</v>
      </c>
      <c r="I248" t="s">
        <v>487</v>
      </c>
    </row>
    <row r="249" spans="1:9" x14ac:dyDescent="0.3">
      <c r="A249">
        <v>412066306</v>
      </c>
      <c r="B249" t="s">
        <v>492</v>
      </c>
      <c r="C249" t="s">
        <v>526</v>
      </c>
      <c r="D249" t="s">
        <v>526</v>
      </c>
      <c r="E249" t="s">
        <v>487</v>
      </c>
      <c r="F249" t="s">
        <v>487</v>
      </c>
      <c r="G249" t="s">
        <v>487</v>
      </c>
      <c r="H249" t="s">
        <v>487</v>
      </c>
      <c r="I249" t="s">
        <v>487</v>
      </c>
    </row>
    <row r="250" spans="1:9" x14ac:dyDescent="0.3">
      <c r="A250">
        <v>412283981</v>
      </c>
      <c r="B250" t="s">
        <v>492</v>
      </c>
      <c r="C250" t="s">
        <v>505</v>
      </c>
      <c r="D250" t="s">
        <v>549</v>
      </c>
      <c r="E250" t="s">
        <v>487</v>
      </c>
      <c r="F250" t="s">
        <v>487</v>
      </c>
      <c r="G250" t="s">
        <v>487</v>
      </c>
      <c r="H250" t="s">
        <v>487</v>
      </c>
      <c r="I250" t="s">
        <v>487</v>
      </c>
    </row>
    <row r="251" spans="1:9" x14ac:dyDescent="0.3">
      <c r="A251">
        <v>412284081</v>
      </c>
      <c r="B251" t="s">
        <v>492</v>
      </c>
      <c r="C251" t="s">
        <v>505</v>
      </c>
      <c r="D251" t="s">
        <v>549</v>
      </c>
      <c r="E251" t="s">
        <v>487</v>
      </c>
      <c r="F251" t="s">
        <v>487</v>
      </c>
      <c r="G251" t="s">
        <v>487</v>
      </c>
      <c r="H251" t="s">
        <v>487</v>
      </c>
      <c r="I251" t="s">
        <v>487</v>
      </c>
    </row>
    <row r="252" spans="1:9" x14ac:dyDescent="0.3">
      <c r="A252">
        <v>413440244</v>
      </c>
      <c r="B252" t="s">
        <v>550</v>
      </c>
      <c r="C252" t="s">
        <v>551</v>
      </c>
      <c r="D252" t="s">
        <v>551</v>
      </c>
      <c r="E252" t="s">
        <v>487</v>
      </c>
      <c r="F252" t="s">
        <v>487</v>
      </c>
      <c r="G252" t="s">
        <v>487</v>
      </c>
      <c r="H252" t="s">
        <v>487</v>
      </c>
      <c r="I252" t="s">
        <v>487</v>
      </c>
    </row>
    <row r="253" spans="1:9" x14ac:dyDescent="0.3">
      <c r="A253">
        <v>413450245</v>
      </c>
      <c r="B253" t="s">
        <v>550</v>
      </c>
      <c r="C253" t="s">
        <v>552</v>
      </c>
      <c r="D253" t="s">
        <v>552</v>
      </c>
      <c r="E253" t="s">
        <v>487</v>
      </c>
      <c r="F253" t="s">
        <v>487</v>
      </c>
      <c r="G253" t="s">
        <v>487</v>
      </c>
      <c r="H253" t="s">
        <v>487</v>
      </c>
      <c r="I253" t="s">
        <v>487</v>
      </c>
    </row>
    <row r="254" spans="1:9" x14ac:dyDescent="0.3">
      <c r="A254">
        <v>413450445</v>
      </c>
      <c r="B254" t="s">
        <v>550</v>
      </c>
      <c r="C254" t="s">
        <v>552</v>
      </c>
      <c r="D254" t="s">
        <v>552</v>
      </c>
      <c r="E254" t="s">
        <v>487</v>
      </c>
      <c r="F254" t="s">
        <v>487</v>
      </c>
      <c r="G254" t="s">
        <v>487</v>
      </c>
      <c r="H254" t="s">
        <v>487</v>
      </c>
      <c r="I254" t="s">
        <v>487</v>
      </c>
    </row>
    <row r="255" spans="1:9" x14ac:dyDescent="0.3">
      <c r="A255">
        <v>413456745</v>
      </c>
      <c r="B255" t="s">
        <v>550</v>
      </c>
      <c r="C255" t="s">
        <v>552</v>
      </c>
      <c r="D255" t="s">
        <v>552</v>
      </c>
      <c r="E255" t="s">
        <v>487</v>
      </c>
      <c r="F255" t="s">
        <v>487</v>
      </c>
      <c r="G255" t="s">
        <v>487</v>
      </c>
      <c r="H255" t="s">
        <v>487</v>
      </c>
      <c r="I255" t="s">
        <v>487</v>
      </c>
    </row>
    <row r="256" spans="1:9" x14ac:dyDescent="0.3">
      <c r="A256">
        <v>414010021</v>
      </c>
      <c r="B256" t="s">
        <v>476</v>
      </c>
      <c r="C256" t="s">
        <v>477</v>
      </c>
      <c r="D256" t="s">
        <v>478</v>
      </c>
      <c r="E256" t="s">
        <v>487</v>
      </c>
      <c r="F256" t="s">
        <v>487</v>
      </c>
      <c r="G256" t="s">
        <v>487</v>
      </c>
      <c r="H256" t="s">
        <v>487</v>
      </c>
      <c r="I256" t="s">
        <v>487</v>
      </c>
    </row>
    <row r="257" spans="1:9" x14ac:dyDescent="0.3">
      <c r="A257">
        <v>414014792</v>
      </c>
      <c r="B257" t="s">
        <v>476</v>
      </c>
      <c r="C257" t="s">
        <v>481</v>
      </c>
      <c r="D257" t="s">
        <v>482</v>
      </c>
      <c r="E257" t="s">
        <v>487</v>
      </c>
      <c r="F257" t="s">
        <v>487</v>
      </c>
      <c r="G257" t="s">
        <v>487</v>
      </c>
      <c r="H257" t="s">
        <v>487</v>
      </c>
      <c r="I257" t="s">
        <v>487</v>
      </c>
    </row>
    <row r="258" spans="1:9" x14ac:dyDescent="0.3">
      <c r="A258">
        <v>414020009</v>
      </c>
      <c r="B258" t="s">
        <v>476</v>
      </c>
      <c r="C258" t="s">
        <v>477</v>
      </c>
      <c r="D258" t="s">
        <v>486</v>
      </c>
      <c r="E258" t="s">
        <v>487</v>
      </c>
      <c r="F258" t="s">
        <v>487</v>
      </c>
      <c r="G258" t="s">
        <v>487</v>
      </c>
      <c r="H258" t="s">
        <v>487</v>
      </c>
      <c r="I258" t="s">
        <v>487</v>
      </c>
    </row>
    <row r="259" spans="1:9" x14ac:dyDescent="0.3">
      <c r="A259">
        <v>415026324</v>
      </c>
      <c r="B259" t="s">
        <v>476</v>
      </c>
      <c r="C259" t="s">
        <v>477</v>
      </c>
      <c r="D259" t="s">
        <v>486</v>
      </c>
      <c r="E259" t="s">
        <v>487</v>
      </c>
      <c r="F259" t="s">
        <v>487</v>
      </c>
      <c r="G259" t="s">
        <v>487</v>
      </c>
      <c r="H259" t="s">
        <v>487</v>
      </c>
      <c r="I259" t="s">
        <v>487</v>
      </c>
    </row>
    <row r="260" spans="1:9" x14ac:dyDescent="0.3">
      <c r="A260">
        <v>418010021</v>
      </c>
      <c r="B260" t="s">
        <v>476</v>
      </c>
      <c r="C260" t="s">
        <v>477</v>
      </c>
      <c r="D260" t="s">
        <v>478</v>
      </c>
      <c r="E260" t="s">
        <v>487</v>
      </c>
      <c r="F260" t="s">
        <v>487</v>
      </c>
      <c r="G260" t="s">
        <v>487</v>
      </c>
      <c r="H260" t="s">
        <v>487</v>
      </c>
      <c r="I260" t="s">
        <v>487</v>
      </c>
    </row>
    <row r="261" spans="1:9" x14ac:dyDescent="0.3">
      <c r="A261">
        <v>418014792</v>
      </c>
      <c r="B261" t="s">
        <v>476</v>
      </c>
      <c r="C261" t="s">
        <v>481</v>
      </c>
      <c r="D261" t="s">
        <v>482</v>
      </c>
      <c r="E261" t="s">
        <v>487</v>
      </c>
      <c r="F261" t="s">
        <v>487</v>
      </c>
      <c r="G261" t="s">
        <v>487</v>
      </c>
      <c r="H261" t="s">
        <v>487</v>
      </c>
      <c r="I261" t="s">
        <v>487</v>
      </c>
    </row>
    <row r="262" spans="1:9" x14ac:dyDescent="0.3">
      <c r="A262">
        <v>418025604</v>
      </c>
      <c r="B262" t="s">
        <v>476</v>
      </c>
      <c r="C262" t="s">
        <v>477</v>
      </c>
      <c r="D262" t="s">
        <v>486</v>
      </c>
      <c r="E262" t="s">
        <v>487</v>
      </c>
      <c r="F262" t="s">
        <v>487</v>
      </c>
      <c r="G262" t="s">
        <v>487</v>
      </c>
      <c r="H262" t="s">
        <v>487</v>
      </c>
      <c r="I262" t="s">
        <v>487</v>
      </c>
    </row>
    <row r="263" spans="1:9" x14ac:dyDescent="0.3">
      <c r="A263">
        <v>418025614</v>
      </c>
      <c r="B263" t="s">
        <v>476</v>
      </c>
      <c r="C263" t="s">
        <v>477</v>
      </c>
      <c r="D263" t="s">
        <v>488</v>
      </c>
      <c r="E263" t="s">
        <v>487</v>
      </c>
      <c r="F263" t="s">
        <v>487</v>
      </c>
      <c r="G263" t="s">
        <v>487</v>
      </c>
      <c r="H263" t="s">
        <v>487</v>
      </c>
      <c r="I263" t="s">
        <v>487</v>
      </c>
    </row>
    <row r="264" spans="1:9" x14ac:dyDescent="0.3">
      <c r="A264">
        <v>418026410</v>
      </c>
      <c r="B264" t="s">
        <v>476</v>
      </c>
      <c r="C264" t="s">
        <v>481</v>
      </c>
      <c r="D264" t="s">
        <v>490</v>
      </c>
      <c r="E264" t="s">
        <v>487</v>
      </c>
      <c r="F264" t="s">
        <v>487</v>
      </c>
      <c r="G264" t="s">
        <v>487</v>
      </c>
      <c r="H264" t="s">
        <v>487</v>
      </c>
      <c r="I264" t="s">
        <v>487</v>
      </c>
    </row>
    <row r="265" spans="1:9" x14ac:dyDescent="0.3">
      <c r="A265">
        <v>410015049</v>
      </c>
      <c r="B265" t="s">
        <v>476</v>
      </c>
      <c r="C265" t="s">
        <v>527</v>
      </c>
      <c r="D265" t="s">
        <v>553</v>
      </c>
      <c r="E265" t="s">
        <v>487</v>
      </c>
      <c r="F265" t="s">
        <v>485</v>
      </c>
      <c r="G265" t="s">
        <v>487</v>
      </c>
      <c r="H265" t="s">
        <v>487</v>
      </c>
      <c r="I265" t="s">
        <v>487</v>
      </c>
    </row>
    <row r="266" spans="1:9" x14ac:dyDescent="0.3">
      <c r="A266">
        <v>410015091</v>
      </c>
      <c r="B266" t="s">
        <v>476</v>
      </c>
      <c r="C266" t="s">
        <v>527</v>
      </c>
      <c r="D266" t="s">
        <v>553</v>
      </c>
      <c r="E266" t="s">
        <v>487</v>
      </c>
      <c r="F266" t="s">
        <v>489</v>
      </c>
      <c r="G266" t="s">
        <v>500</v>
      </c>
      <c r="H266" t="s">
        <v>500</v>
      </c>
      <c r="I266" t="s">
        <v>500</v>
      </c>
    </row>
    <row r="267" spans="1:9" x14ac:dyDescent="0.3">
      <c r="A267">
        <v>410015092</v>
      </c>
      <c r="B267" t="s">
        <v>476</v>
      </c>
      <c r="C267" t="s">
        <v>527</v>
      </c>
      <c r="D267" t="s">
        <v>553</v>
      </c>
      <c r="E267" t="s">
        <v>487</v>
      </c>
      <c r="F267" t="s">
        <v>500</v>
      </c>
      <c r="G267" t="s">
        <v>500</v>
      </c>
      <c r="H267" t="s">
        <v>500</v>
      </c>
      <c r="I267" t="s">
        <v>500</v>
      </c>
    </row>
    <row r="268" spans="1:9" x14ac:dyDescent="0.3">
      <c r="A268">
        <v>410022008</v>
      </c>
      <c r="B268" t="s">
        <v>476</v>
      </c>
      <c r="C268" t="s">
        <v>538</v>
      </c>
      <c r="D268" t="s">
        <v>539</v>
      </c>
      <c r="E268" t="s">
        <v>487</v>
      </c>
      <c r="F268" t="s">
        <v>500</v>
      </c>
      <c r="G268" t="s">
        <v>489</v>
      </c>
      <c r="H268" t="s">
        <v>489</v>
      </c>
      <c r="I268" t="s">
        <v>489</v>
      </c>
    </row>
    <row r="269" spans="1:9" x14ac:dyDescent="0.3">
      <c r="A269">
        <v>410025080</v>
      </c>
      <c r="B269" t="s">
        <v>476</v>
      </c>
      <c r="C269" t="s">
        <v>527</v>
      </c>
      <c r="D269" t="s">
        <v>554</v>
      </c>
      <c r="E269" t="s">
        <v>487</v>
      </c>
      <c r="F269" t="s">
        <v>489</v>
      </c>
      <c r="G269" t="s">
        <v>489</v>
      </c>
      <c r="H269" t="s">
        <v>489</v>
      </c>
      <c r="I269" t="s">
        <v>489</v>
      </c>
    </row>
    <row r="270" spans="1:9" x14ac:dyDescent="0.3">
      <c r="A270">
        <v>410025089</v>
      </c>
      <c r="B270" t="s">
        <v>476</v>
      </c>
      <c r="C270" t="s">
        <v>527</v>
      </c>
      <c r="D270" t="s">
        <v>555</v>
      </c>
      <c r="E270" t="s">
        <v>487</v>
      </c>
      <c r="F270" t="s">
        <v>485</v>
      </c>
      <c r="G270" t="s">
        <v>487</v>
      </c>
      <c r="H270" t="s">
        <v>485</v>
      </c>
      <c r="I270" t="s">
        <v>487</v>
      </c>
    </row>
    <row r="271" spans="1:9" x14ac:dyDescent="0.3">
      <c r="A271">
        <v>410025093</v>
      </c>
      <c r="B271" t="s">
        <v>476</v>
      </c>
      <c r="C271" t="s">
        <v>527</v>
      </c>
      <c r="D271" t="s">
        <v>555</v>
      </c>
      <c r="E271" t="s">
        <v>487</v>
      </c>
      <c r="F271" t="s">
        <v>489</v>
      </c>
      <c r="G271" t="s">
        <v>500</v>
      </c>
      <c r="H271" t="s">
        <v>500</v>
      </c>
      <c r="I271" t="s">
        <v>500</v>
      </c>
    </row>
    <row r="272" spans="1:9" x14ac:dyDescent="0.3">
      <c r="A272">
        <v>410025625</v>
      </c>
      <c r="B272" t="s">
        <v>476</v>
      </c>
      <c r="C272" t="s">
        <v>477</v>
      </c>
      <c r="D272" t="s">
        <v>486</v>
      </c>
      <c r="E272" t="s">
        <v>487</v>
      </c>
      <c r="F272" t="s">
        <v>489</v>
      </c>
      <c r="G272" t="s">
        <v>489</v>
      </c>
      <c r="H272" t="s">
        <v>489</v>
      </c>
      <c r="I272" t="s">
        <v>487</v>
      </c>
    </row>
    <row r="273" spans="1:9" x14ac:dyDescent="0.3">
      <c r="A273">
        <v>410026412</v>
      </c>
      <c r="B273" t="s">
        <v>476</v>
      </c>
      <c r="C273" t="s">
        <v>481</v>
      </c>
      <c r="D273" t="s">
        <v>490</v>
      </c>
      <c r="E273" t="s">
        <v>487</v>
      </c>
      <c r="F273" t="s">
        <v>489</v>
      </c>
      <c r="G273" t="s">
        <v>487</v>
      </c>
      <c r="H273" t="s">
        <v>487</v>
      </c>
      <c r="I273" t="s">
        <v>487</v>
      </c>
    </row>
    <row r="274" spans="1:9" x14ac:dyDescent="0.3">
      <c r="A274">
        <v>410080395</v>
      </c>
      <c r="B274" t="s">
        <v>476</v>
      </c>
      <c r="C274" t="s">
        <v>538</v>
      </c>
      <c r="D274" t="s">
        <v>539</v>
      </c>
      <c r="E274" t="s">
        <v>487</v>
      </c>
      <c r="F274" t="s">
        <v>500</v>
      </c>
      <c r="G274" t="s">
        <v>500</v>
      </c>
      <c r="H274" t="s">
        <v>500</v>
      </c>
      <c r="I274" t="s">
        <v>487</v>
      </c>
    </row>
    <row r="275" spans="1:9" x14ac:dyDescent="0.3">
      <c r="A275">
        <v>410140034</v>
      </c>
      <c r="B275" t="s">
        <v>531</v>
      </c>
      <c r="C275" t="s">
        <v>532</v>
      </c>
      <c r="D275" t="s">
        <v>556</v>
      </c>
      <c r="E275" t="s">
        <v>487</v>
      </c>
      <c r="F275" t="s">
        <v>500</v>
      </c>
      <c r="G275" t="s">
        <v>485</v>
      </c>
      <c r="H275" t="s">
        <v>485</v>
      </c>
      <c r="I275" t="s">
        <v>485</v>
      </c>
    </row>
    <row r="276" spans="1:9" x14ac:dyDescent="0.3">
      <c r="A276">
        <v>410415611</v>
      </c>
      <c r="B276" t="s">
        <v>476</v>
      </c>
      <c r="C276" t="s">
        <v>477</v>
      </c>
      <c r="D276" t="s">
        <v>557</v>
      </c>
      <c r="E276" t="s">
        <v>487</v>
      </c>
      <c r="F276" t="s">
        <v>489</v>
      </c>
      <c r="G276" t="s">
        <v>487</v>
      </c>
      <c r="H276" t="s">
        <v>487</v>
      </c>
      <c r="I276" t="s">
        <v>489</v>
      </c>
    </row>
    <row r="277" spans="1:9" x14ac:dyDescent="0.3">
      <c r="A277">
        <v>413460446</v>
      </c>
      <c r="B277" t="s">
        <v>550</v>
      </c>
      <c r="C277" t="s">
        <v>558</v>
      </c>
      <c r="D277" t="s">
        <v>558</v>
      </c>
      <c r="E277" t="s">
        <v>487</v>
      </c>
      <c r="F277" t="s">
        <v>489</v>
      </c>
      <c r="G277" t="s">
        <v>487</v>
      </c>
      <c r="H277" t="s">
        <v>489</v>
      </c>
      <c r="I277" t="s">
        <v>489</v>
      </c>
    </row>
    <row r="278" spans="1:9" x14ac:dyDescent="0.3">
      <c r="A278">
        <v>413466846</v>
      </c>
      <c r="B278" t="s">
        <v>550</v>
      </c>
      <c r="C278" t="s">
        <v>558</v>
      </c>
      <c r="D278" t="s">
        <v>558</v>
      </c>
      <c r="E278" t="s">
        <v>487</v>
      </c>
      <c r="F278" t="s">
        <v>489</v>
      </c>
      <c r="G278" t="s">
        <v>487</v>
      </c>
      <c r="H278" t="s">
        <v>489</v>
      </c>
      <c r="I278" t="s">
        <v>489</v>
      </c>
    </row>
    <row r="279" spans="1:9" x14ac:dyDescent="0.3">
      <c r="A279">
        <v>410030908</v>
      </c>
      <c r="B279" t="s">
        <v>492</v>
      </c>
      <c r="C279" t="s">
        <v>230</v>
      </c>
      <c r="D279" t="s">
        <v>230</v>
      </c>
      <c r="E279" t="s">
        <v>487</v>
      </c>
      <c r="F279" t="s">
        <v>500</v>
      </c>
      <c r="G279" t="s">
        <v>485</v>
      </c>
      <c r="H279" t="s">
        <v>485</v>
      </c>
      <c r="I279" t="s">
        <v>487</v>
      </c>
    </row>
    <row r="280" spans="1:9" x14ac:dyDescent="0.3">
      <c r="A280">
        <v>410031108</v>
      </c>
      <c r="B280" t="s">
        <v>492</v>
      </c>
      <c r="C280" t="s">
        <v>230</v>
      </c>
      <c r="D280" t="s">
        <v>230</v>
      </c>
      <c r="E280" t="s">
        <v>487</v>
      </c>
      <c r="F280" t="s">
        <v>489</v>
      </c>
      <c r="G280" t="s">
        <v>485</v>
      </c>
      <c r="H280" t="s">
        <v>485</v>
      </c>
      <c r="I280" t="s">
        <v>487</v>
      </c>
    </row>
    <row r="281" spans="1:9" x14ac:dyDescent="0.3">
      <c r="A281">
        <v>410031208</v>
      </c>
      <c r="B281" t="s">
        <v>492</v>
      </c>
      <c r="C281" t="s">
        <v>230</v>
      </c>
      <c r="D281" t="s">
        <v>230</v>
      </c>
      <c r="E281" t="s">
        <v>487</v>
      </c>
      <c r="F281" t="s">
        <v>489</v>
      </c>
      <c r="G281" t="s">
        <v>485</v>
      </c>
      <c r="H281" t="s">
        <v>485</v>
      </c>
      <c r="I281" t="s">
        <v>487</v>
      </c>
    </row>
    <row r="282" spans="1:9" x14ac:dyDescent="0.3">
      <c r="A282">
        <v>410031709</v>
      </c>
      <c r="B282" t="s">
        <v>492</v>
      </c>
      <c r="C282" t="s">
        <v>230</v>
      </c>
      <c r="D282" t="s">
        <v>230</v>
      </c>
      <c r="E282" t="s">
        <v>487</v>
      </c>
      <c r="F282" t="s">
        <v>489</v>
      </c>
      <c r="G282" t="s">
        <v>485</v>
      </c>
      <c r="H282" t="s">
        <v>485</v>
      </c>
      <c r="I282" t="s">
        <v>487</v>
      </c>
    </row>
    <row r="283" spans="1:9" x14ac:dyDescent="0.3">
      <c r="A283">
        <v>410031809</v>
      </c>
      <c r="B283" t="s">
        <v>492</v>
      </c>
      <c r="C283" t="s">
        <v>230</v>
      </c>
      <c r="D283" t="s">
        <v>230</v>
      </c>
      <c r="E283" t="s">
        <v>487</v>
      </c>
      <c r="F283" t="s">
        <v>500</v>
      </c>
      <c r="G283" t="s">
        <v>485</v>
      </c>
      <c r="H283" t="s">
        <v>485</v>
      </c>
      <c r="I283" t="s">
        <v>487</v>
      </c>
    </row>
    <row r="284" spans="1:9" x14ac:dyDescent="0.3">
      <c r="A284">
        <v>410031909</v>
      </c>
      <c r="B284" t="s">
        <v>492</v>
      </c>
      <c r="C284" t="s">
        <v>230</v>
      </c>
      <c r="D284" t="s">
        <v>230</v>
      </c>
      <c r="E284" t="s">
        <v>487</v>
      </c>
      <c r="F284" t="s">
        <v>500</v>
      </c>
      <c r="G284" t="s">
        <v>485</v>
      </c>
      <c r="H284" t="s">
        <v>485</v>
      </c>
      <c r="I284" t="s">
        <v>487</v>
      </c>
    </row>
    <row r="285" spans="1:9" x14ac:dyDescent="0.3">
      <c r="A285">
        <v>410032009</v>
      </c>
      <c r="B285" t="s">
        <v>492</v>
      </c>
      <c r="C285" t="s">
        <v>230</v>
      </c>
      <c r="D285" t="s">
        <v>230</v>
      </c>
      <c r="E285" t="s">
        <v>487</v>
      </c>
      <c r="F285" t="s">
        <v>500</v>
      </c>
      <c r="G285" t="s">
        <v>485</v>
      </c>
      <c r="H285" t="s">
        <v>485</v>
      </c>
      <c r="I285" t="s">
        <v>487</v>
      </c>
    </row>
    <row r="286" spans="1:9" x14ac:dyDescent="0.3">
      <c r="A286">
        <v>410032108</v>
      </c>
      <c r="B286" t="s">
        <v>492</v>
      </c>
      <c r="C286" t="s">
        <v>230</v>
      </c>
      <c r="D286" t="s">
        <v>230</v>
      </c>
      <c r="E286" t="s">
        <v>487</v>
      </c>
      <c r="F286" t="s">
        <v>489</v>
      </c>
      <c r="G286" t="s">
        <v>485</v>
      </c>
      <c r="H286" t="s">
        <v>485</v>
      </c>
      <c r="I286" t="s">
        <v>487</v>
      </c>
    </row>
    <row r="287" spans="1:9" x14ac:dyDescent="0.3">
      <c r="A287">
        <v>410032208</v>
      </c>
      <c r="B287" t="s">
        <v>492</v>
      </c>
      <c r="C287" t="s">
        <v>230</v>
      </c>
      <c r="D287" t="s">
        <v>230</v>
      </c>
      <c r="E287" t="s">
        <v>487</v>
      </c>
      <c r="F287" t="s">
        <v>485</v>
      </c>
      <c r="G287" t="s">
        <v>487</v>
      </c>
      <c r="H287" t="s">
        <v>487</v>
      </c>
      <c r="I287" t="s">
        <v>487</v>
      </c>
    </row>
    <row r="288" spans="1:9" x14ac:dyDescent="0.3">
      <c r="A288">
        <v>410032509</v>
      </c>
      <c r="B288" t="s">
        <v>492</v>
      </c>
      <c r="C288" t="s">
        <v>230</v>
      </c>
      <c r="D288" t="s">
        <v>230</v>
      </c>
      <c r="E288" t="s">
        <v>487</v>
      </c>
      <c r="F288" t="s">
        <v>485</v>
      </c>
      <c r="G288" t="s">
        <v>487</v>
      </c>
      <c r="H288" t="s">
        <v>487</v>
      </c>
      <c r="I288" t="s">
        <v>487</v>
      </c>
    </row>
    <row r="289" spans="1:9" x14ac:dyDescent="0.3">
      <c r="A289">
        <v>410032609</v>
      </c>
      <c r="B289" t="s">
        <v>492</v>
      </c>
      <c r="C289" t="s">
        <v>230</v>
      </c>
      <c r="D289" t="s">
        <v>230</v>
      </c>
      <c r="E289" t="s">
        <v>487</v>
      </c>
      <c r="F289" t="s">
        <v>485</v>
      </c>
      <c r="G289" t="s">
        <v>487</v>
      </c>
      <c r="H289" t="s">
        <v>487</v>
      </c>
      <c r="I289" t="s">
        <v>487</v>
      </c>
    </row>
    <row r="290" spans="1:9" x14ac:dyDescent="0.3">
      <c r="A290">
        <v>410120509</v>
      </c>
      <c r="B290" t="s">
        <v>492</v>
      </c>
      <c r="C290" t="s">
        <v>559</v>
      </c>
      <c r="D290" t="s">
        <v>559</v>
      </c>
      <c r="E290" t="s">
        <v>487</v>
      </c>
      <c r="F290" t="s">
        <v>485</v>
      </c>
      <c r="G290" t="s">
        <v>487</v>
      </c>
      <c r="H290" t="s">
        <v>487</v>
      </c>
      <c r="I290" t="s">
        <v>487</v>
      </c>
    </row>
    <row r="291" spans="1:9" x14ac:dyDescent="0.3">
      <c r="A291">
        <v>410121509</v>
      </c>
      <c r="B291" t="s">
        <v>492</v>
      </c>
      <c r="C291" t="s">
        <v>559</v>
      </c>
      <c r="D291" t="s">
        <v>559</v>
      </c>
      <c r="E291" t="s">
        <v>487</v>
      </c>
      <c r="F291" t="s">
        <v>485</v>
      </c>
      <c r="G291" t="s">
        <v>487</v>
      </c>
      <c r="H291" t="s">
        <v>487</v>
      </c>
      <c r="I291" t="s">
        <v>487</v>
      </c>
    </row>
    <row r="292" spans="1:9" x14ac:dyDescent="0.3">
      <c r="A292">
        <v>410362187</v>
      </c>
      <c r="B292" t="s">
        <v>492</v>
      </c>
      <c r="C292" t="s">
        <v>498</v>
      </c>
      <c r="D292" t="s">
        <v>519</v>
      </c>
      <c r="E292" t="s">
        <v>487</v>
      </c>
      <c r="F292" t="s">
        <v>489</v>
      </c>
      <c r="G292" t="s">
        <v>489</v>
      </c>
      <c r="H292" t="s">
        <v>489</v>
      </c>
      <c r="I292" t="s">
        <v>489</v>
      </c>
    </row>
    <row r="293" spans="1:9" x14ac:dyDescent="0.3">
      <c r="A293">
        <v>410394901</v>
      </c>
      <c r="B293" t="s">
        <v>492</v>
      </c>
      <c r="C293" t="s">
        <v>520</v>
      </c>
      <c r="D293" t="s">
        <v>560</v>
      </c>
      <c r="E293" t="s">
        <v>487</v>
      </c>
      <c r="F293" t="s">
        <v>489</v>
      </c>
      <c r="G293" t="s">
        <v>487</v>
      </c>
      <c r="H293" t="s">
        <v>487</v>
      </c>
      <c r="I293" t="s">
        <v>489</v>
      </c>
    </row>
    <row r="294" spans="1:9" x14ac:dyDescent="0.3">
      <c r="A294">
        <v>410394996</v>
      </c>
      <c r="B294" t="s">
        <v>492</v>
      </c>
      <c r="C294" t="s">
        <v>520</v>
      </c>
      <c r="D294" t="s">
        <v>560</v>
      </c>
      <c r="E294" t="s">
        <v>487</v>
      </c>
      <c r="F294" t="s">
        <v>489</v>
      </c>
      <c r="G294" t="s">
        <v>487</v>
      </c>
      <c r="H294" t="s">
        <v>487</v>
      </c>
      <c r="I294" t="s">
        <v>489</v>
      </c>
    </row>
    <row r="295" spans="1:9" x14ac:dyDescent="0.3">
      <c r="A295">
        <v>410395001</v>
      </c>
      <c r="B295" t="s">
        <v>492</v>
      </c>
      <c r="C295" t="s">
        <v>520</v>
      </c>
      <c r="D295" t="s">
        <v>560</v>
      </c>
      <c r="E295" t="s">
        <v>487</v>
      </c>
      <c r="F295" t="s">
        <v>489</v>
      </c>
      <c r="G295" t="s">
        <v>487</v>
      </c>
      <c r="H295" t="s">
        <v>489</v>
      </c>
      <c r="I295" t="s">
        <v>489</v>
      </c>
    </row>
    <row r="296" spans="1:9" x14ac:dyDescent="0.3">
      <c r="A296">
        <v>410395096</v>
      </c>
      <c r="B296" t="s">
        <v>492</v>
      </c>
      <c r="C296" t="s">
        <v>520</v>
      </c>
      <c r="D296" t="s">
        <v>560</v>
      </c>
      <c r="E296" t="s">
        <v>487</v>
      </c>
      <c r="F296" t="s">
        <v>489</v>
      </c>
      <c r="G296" t="s">
        <v>487</v>
      </c>
      <c r="H296" t="s">
        <v>487</v>
      </c>
      <c r="I296" t="s">
        <v>489</v>
      </c>
    </row>
    <row r="297" spans="1:9" x14ac:dyDescent="0.3">
      <c r="A297">
        <v>430010020</v>
      </c>
      <c r="B297" t="s">
        <v>561</v>
      </c>
      <c r="C297" t="s">
        <v>561</v>
      </c>
      <c r="D297" t="s">
        <v>561</v>
      </c>
      <c r="E297" t="s">
        <v>561</v>
      </c>
      <c r="F297" t="s">
        <v>487</v>
      </c>
      <c r="G297" t="s">
        <v>487</v>
      </c>
      <c r="H297" t="s">
        <v>487</v>
      </c>
      <c r="I297" t="s">
        <v>487</v>
      </c>
    </row>
    <row r="298" spans="1:9" x14ac:dyDescent="0.3">
      <c r="A298">
        <v>430010021</v>
      </c>
      <c r="B298" t="s">
        <v>561</v>
      </c>
      <c r="C298" t="s">
        <v>561</v>
      </c>
      <c r="D298" t="s">
        <v>561</v>
      </c>
      <c r="E298" t="s">
        <v>561</v>
      </c>
      <c r="F298" t="s">
        <v>487</v>
      </c>
      <c r="G298" t="s">
        <v>487</v>
      </c>
      <c r="H298" t="s">
        <v>487</v>
      </c>
      <c r="I298" t="s">
        <v>487</v>
      </c>
    </row>
    <row r="299" spans="1:9" x14ac:dyDescent="0.3">
      <c r="A299">
        <v>430014791</v>
      </c>
      <c r="B299" t="s">
        <v>561</v>
      </c>
      <c r="C299" t="s">
        <v>561</v>
      </c>
      <c r="D299" t="s">
        <v>561</v>
      </c>
      <c r="E299" t="s">
        <v>561</v>
      </c>
      <c r="F299" t="s">
        <v>487</v>
      </c>
      <c r="G299" t="s">
        <v>487</v>
      </c>
      <c r="H299" t="s">
        <v>487</v>
      </c>
      <c r="I299" t="s">
        <v>487</v>
      </c>
    </row>
    <row r="300" spans="1:9" x14ac:dyDescent="0.3">
      <c r="A300">
        <v>430014792</v>
      </c>
      <c r="B300" t="s">
        <v>561</v>
      </c>
      <c r="C300" t="s">
        <v>561</v>
      </c>
      <c r="D300" t="s">
        <v>561</v>
      </c>
      <c r="E300" t="s">
        <v>561</v>
      </c>
      <c r="F300" t="s">
        <v>487</v>
      </c>
      <c r="G300" t="s">
        <v>487</v>
      </c>
      <c r="H300" t="s">
        <v>487</v>
      </c>
      <c r="I300" t="s">
        <v>487</v>
      </c>
    </row>
    <row r="301" spans="1:9" x14ac:dyDescent="0.3">
      <c r="A301">
        <v>430014793</v>
      </c>
      <c r="B301" t="s">
        <v>561</v>
      </c>
      <c r="C301" t="s">
        <v>561</v>
      </c>
      <c r="D301" t="s">
        <v>561</v>
      </c>
      <c r="E301" t="s">
        <v>561</v>
      </c>
      <c r="F301" t="s">
        <v>487</v>
      </c>
      <c r="G301" t="s">
        <v>487</v>
      </c>
      <c r="H301" t="s">
        <v>487</v>
      </c>
      <c r="I301" t="s">
        <v>487</v>
      </c>
    </row>
    <row r="302" spans="1:9" x14ac:dyDescent="0.3">
      <c r="A302">
        <v>430015091</v>
      </c>
      <c r="B302" t="s">
        <v>561</v>
      </c>
      <c r="C302" t="s">
        <v>561</v>
      </c>
      <c r="D302" t="s">
        <v>561</v>
      </c>
      <c r="E302" t="s">
        <v>561</v>
      </c>
      <c r="F302" t="s">
        <v>487</v>
      </c>
      <c r="G302" t="s">
        <v>487</v>
      </c>
      <c r="H302" t="s">
        <v>487</v>
      </c>
      <c r="I302" t="s">
        <v>487</v>
      </c>
    </row>
    <row r="303" spans="1:9" x14ac:dyDescent="0.3">
      <c r="A303">
        <v>430015092</v>
      </c>
      <c r="B303" t="s">
        <v>561</v>
      </c>
      <c r="C303" t="s">
        <v>561</v>
      </c>
      <c r="D303" t="s">
        <v>561</v>
      </c>
      <c r="E303" t="s">
        <v>561</v>
      </c>
      <c r="F303" t="s">
        <v>487</v>
      </c>
      <c r="G303" t="s">
        <v>487</v>
      </c>
      <c r="H303" t="s">
        <v>487</v>
      </c>
      <c r="I303" t="s">
        <v>487</v>
      </c>
    </row>
    <row r="304" spans="1:9" x14ac:dyDescent="0.3">
      <c r="A304">
        <v>430015592</v>
      </c>
      <c r="B304" t="s">
        <v>561</v>
      </c>
      <c r="C304" t="s">
        <v>561</v>
      </c>
      <c r="D304" t="s">
        <v>561</v>
      </c>
      <c r="E304" t="s">
        <v>561</v>
      </c>
      <c r="F304" t="s">
        <v>487</v>
      </c>
      <c r="G304" t="s">
        <v>487</v>
      </c>
      <c r="H304" t="s">
        <v>487</v>
      </c>
      <c r="I304" t="s">
        <v>487</v>
      </c>
    </row>
    <row r="305" spans="1:9" x14ac:dyDescent="0.3">
      <c r="A305">
        <v>430020037</v>
      </c>
      <c r="B305" t="s">
        <v>561</v>
      </c>
      <c r="C305" t="s">
        <v>561</v>
      </c>
      <c r="D305" t="s">
        <v>561</v>
      </c>
      <c r="E305" t="s">
        <v>561</v>
      </c>
      <c r="F305" t="s">
        <v>487</v>
      </c>
      <c r="G305" t="s">
        <v>487</v>
      </c>
      <c r="H305" t="s">
        <v>487</v>
      </c>
      <c r="I305" t="s">
        <v>487</v>
      </c>
    </row>
    <row r="306" spans="1:9" x14ac:dyDescent="0.3">
      <c r="A306">
        <v>430020057</v>
      </c>
      <c r="B306" t="s">
        <v>561</v>
      </c>
      <c r="C306" t="s">
        <v>561</v>
      </c>
      <c r="D306" t="s">
        <v>561</v>
      </c>
      <c r="E306" t="s">
        <v>561</v>
      </c>
      <c r="F306" t="s">
        <v>487</v>
      </c>
      <c r="G306" t="s">
        <v>487</v>
      </c>
      <c r="H306" t="s">
        <v>487</v>
      </c>
      <c r="I306" t="s">
        <v>487</v>
      </c>
    </row>
    <row r="307" spans="1:9" x14ac:dyDescent="0.3">
      <c r="A307">
        <v>430020079</v>
      </c>
      <c r="B307" t="s">
        <v>561</v>
      </c>
      <c r="C307" t="s">
        <v>561</v>
      </c>
      <c r="D307" t="s">
        <v>561</v>
      </c>
      <c r="E307" t="s">
        <v>561</v>
      </c>
      <c r="F307" t="s">
        <v>487</v>
      </c>
      <c r="G307" t="s">
        <v>487</v>
      </c>
      <c r="H307" t="s">
        <v>487</v>
      </c>
      <c r="I307" t="s">
        <v>487</v>
      </c>
    </row>
    <row r="308" spans="1:9" x14ac:dyDescent="0.3">
      <c r="A308">
        <v>430020080</v>
      </c>
      <c r="B308" t="s">
        <v>561</v>
      </c>
      <c r="C308" t="s">
        <v>561</v>
      </c>
      <c r="D308" t="s">
        <v>561</v>
      </c>
      <c r="E308" t="s">
        <v>561</v>
      </c>
      <c r="F308" t="s">
        <v>487</v>
      </c>
      <c r="G308" t="s">
        <v>487</v>
      </c>
      <c r="H308" t="s">
        <v>487</v>
      </c>
      <c r="I308" t="s">
        <v>487</v>
      </c>
    </row>
    <row r="309" spans="1:9" x14ac:dyDescent="0.3">
      <c r="A309">
        <v>430022008</v>
      </c>
      <c r="B309" t="s">
        <v>561</v>
      </c>
      <c r="C309" t="s">
        <v>561</v>
      </c>
      <c r="D309" t="s">
        <v>561</v>
      </c>
      <c r="E309" t="s">
        <v>561</v>
      </c>
      <c r="F309" t="s">
        <v>487</v>
      </c>
      <c r="G309" t="s">
        <v>487</v>
      </c>
      <c r="H309" t="s">
        <v>487</v>
      </c>
      <c r="I309" t="s">
        <v>487</v>
      </c>
    </row>
    <row r="310" spans="1:9" x14ac:dyDescent="0.3">
      <c r="A310">
        <v>430022034</v>
      </c>
      <c r="B310" t="s">
        <v>561</v>
      </c>
      <c r="C310" t="s">
        <v>561</v>
      </c>
      <c r="D310" t="s">
        <v>561</v>
      </c>
      <c r="E310" t="s">
        <v>561</v>
      </c>
      <c r="F310" t="s">
        <v>487</v>
      </c>
      <c r="G310" t="s">
        <v>487</v>
      </c>
      <c r="H310" t="s">
        <v>487</v>
      </c>
      <c r="I310" t="s">
        <v>487</v>
      </c>
    </row>
    <row r="311" spans="1:9" x14ac:dyDescent="0.3">
      <c r="A311">
        <v>430024780</v>
      </c>
      <c r="B311" t="s">
        <v>561</v>
      </c>
      <c r="C311" t="s">
        <v>561</v>
      </c>
      <c r="D311" t="s">
        <v>561</v>
      </c>
      <c r="E311" t="s">
        <v>561</v>
      </c>
      <c r="F311" t="s">
        <v>487</v>
      </c>
      <c r="G311" t="s">
        <v>487</v>
      </c>
      <c r="H311" t="s">
        <v>487</v>
      </c>
      <c r="I311" t="s">
        <v>487</v>
      </c>
    </row>
    <row r="312" spans="1:9" x14ac:dyDescent="0.3">
      <c r="A312">
        <v>430025080</v>
      </c>
      <c r="B312" t="s">
        <v>561</v>
      </c>
      <c r="C312" t="s">
        <v>561</v>
      </c>
      <c r="D312" t="s">
        <v>561</v>
      </c>
      <c r="E312" t="s">
        <v>561</v>
      </c>
      <c r="F312" t="s">
        <v>487</v>
      </c>
      <c r="G312" t="s">
        <v>487</v>
      </c>
      <c r="H312" t="s">
        <v>487</v>
      </c>
      <c r="I312" t="s">
        <v>487</v>
      </c>
    </row>
    <row r="313" spans="1:9" x14ac:dyDescent="0.3">
      <c r="A313">
        <v>430025093</v>
      </c>
      <c r="B313" t="s">
        <v>561</v>
      </c>
      <c r="C313" t="s">
        <v>561</v>
      </c>
      <c r="D313" t="s">
        <v>561</v>
      </c>
      <c r="E313" t="s">
        <v>561</v>
      </c>
      <c r="F313" t="s">
        <v>487</v>
      </c>
      <c r="G313" t="s">
        <v>487</v>
      </c>
      <c r="H313" t="s">
        <v>487</v>
      </c>
      <c r="I313" t="s">
        <v>487</v>
      </c>
    </row>
    <row r="314" spans="1:9" x14ac:dyDescent="0.3">
      <c r="A314">
        <v>430025604</v>
      </c>
      <c r="B314" t="s">
        <v>561</v>
      </c>
      <c r="C314" t="s">
        <v>561</v>
      </c>
      <c r="D314" t="s">
        <v>561</v>
      </c>
      <c r="E314" t="s">
        <v>561</v>
      </c>
      <c r="F314" t="s">
        <v>487</v>
      </c>
      <c r="G314" t="s">
        <v>487</v>
      </c>
      <c r="H314" t="s">
        <v>487</v>
      </c>
      <c r="I314" t="s">
        <v>487</v>
      </c>
    </row>
    <row r="315" spans="1:9" x14ac:dyDescent="0.3">
      <c r="A315">
        <v>430025625</v>
      </c>
      <c r="B315" t="s">
        <v>561</v>
      </c>
      <c r="C315" t="s">
        <v>561</v>
      </c>
      <c r="D315" t="s">
        <v>561</v>
      </c>
      <c r="E315" t="s">
        <v>561</v>
      </c>
      <c r="F315" t="s">
        <v>487</v>
      </c>
      <c r="G315" t="s">
        <v>487</v>
      </c>
      <c r="H315" t="s">
        <v>487</v>
      </c>
      <c r="I315" t="s">
        <v>487</v>
      </c>
    </row>
    <row r="316" spans="1:9" x14ac:dyDescent="0.3">
      <c r="A316">
        <v>430026208</v>
      </c>
      <c r="B316" t="s">
        <v>561</v>
      </c>
      <c r="C316" t="s">
        <v>561</v>
      </c>
      <c r="D316" t="s">
        <v>561</v>
      </c>
      <c r="E316" t="s">
        <v>561</v>
      </c>
      <c r="F316" t="s">
        <v>487</v>
      </c>
      <c r="G316" t="s">
        <v>487</v>
      </c>
      <c r="H316" t="s">
        <v>487</v>
      </c>
      <c r="I316" t="s">
        <v>487</v>
      </c>
    </row>
    <row r="317" spans="1:9" x14ac:dyDescent="0.3">
      <c r="A317">
        <v>430026401</v>
      </c>
      <c r="B317" t="s">
        <v>561</v>
      </c>
      <c r="C317" t="s">
        <v>561</v>
      </c>
      <c r="D317" t="s">
        <v>561</v>
      </c>
      <c r="E317" t="s">
        <v>561</v>
      </c>
      <c r="F317" t="s">
        <v>487</v>
      </c>
      <c r="G317" t="s">
        <v>487</v>
      </c>
      <c r="H317" t="s">
        <v>487</v>
      </c>
      <c r="I317" t="s">
        <v>487</v>
      </c>
    </row>
    <row r="318" spans="1:9" x14ac:dyDescent="0.3">
      <c r="A318">
        <v>430030002</v>
      </c>
      <c r="B318" t="s">
        <v>561</v>
      </c>
      <c r="C318" t="s">
        <v>561</v>
      </c>
      <c r="D318" t="s">
        <v>561</v>
      </c>
      <c r="E318" t="s">
        <v>561</v>
      </c>
      <c r="F318" t="s">
        <v>487</v>
      </c>
      <c r="G318" t="s">
        <v>487</v>
      </c>
      <c r="H318" t="s">
        <v>487</v>
      </c>
      <c r="I318" t="s">
        <v>487</v>
      </c>
    </row>
    <row r="319" spans="1:9" x14ac:dyDescent="0.3">
      <c r="A319">
        <v>430030004</v>
      </c>
      <c r="B319" t="s">
        <v>561</v>
      </c>
      <c r="C319" t="s">
        <v>561</v>
      </c>
      <c r="D319" t="s">
        <v>561</v>
      </c>
      <c r="E319" t="s">
        <v>561</v>
      </c>
      <c r="F319" t="s">
        <v>487</v>
      </c>
      <c r="G319" t="s">
        <v>487</v>
      </c>
      <c r="H319" t="s">
        <v>487</v>
      </c>
      <c r="I319" t="s">
        <v>487</v>
      </c>
    </row>
    <row r="320" spans="1:9" x14ac:dyDescent="0.3">
      <c r="A320">
        <v>430030202</v>
      </c>
      <c r="B320" t="s">
        <v>561</v>
      </c>
      <c r="C320" t="s">
        <v>561</v>
      </c>
      <c r="D320" t="s">
        <v>561</v>
      </c>
      <c r="E320" t="s">
        <v>561</v>
      </c>
      <c r="F320" t="s">
        <v>487</v>
      </c>
      <c r="G320" t="s">
        <v>487</v>
      </c>
      <c r="H320" t="s">
        <v>487</v>
      </c>
      <c r="I320" t="s">
        <v>487</v>
      </c>
    </row>
    <row r="321" spans="1:9" x14ac:dyDescent="0.3">
      <c r="A321">
        <v>430030204</v>
      </c>
      <c r="B321" t="s">
        <v>561</v>
      </c>
      <c r="C321" t="s">
        <v>561</v>
      </c>
      <c r="D321" t="s">
        <v>561</v>
      </c>
      <c r="E321" t="s">
        <v>561</v>
      </c>
      <c r="F321" t="s">
        <v>487</v>
      </c>
      <c r="G321" t="s">
        <v>487</v>
      </c>
      <c r="H321" t="s">
        <v>487</v>
      </c>
      <c r="I321" t="s">
        <v>487</v>
      </c>
    </row>
    <row r="322" spans="1:9" x14ac:dyDescent="0.3">
      <c r="A322">
        <v>430030302</v>
      </c>
      <c r="B322" t="s">
        <v>561</v>
      </c>
      <c r="C322" t="s">
        <v>561</v>
      </c>
      <c r="D322" t="s">
        <v>561</v>
      </c>
      <c r="E322" t="s">
        <v>561</v>
      </c>
      <c r="F322" t="s">
        <v>487</v>
      </c>
      <c r="G322" t="s">
        <v>487</v>
      </c>
      <c r="H322" t="s">
        <v>487</v>
      </c>
      <c r="I322" t="s">
        <v>487</v>
      </c>
    </row>
    <row r="323" spans="1:9" x14ac:dyDescent="0.3">
      <c r="A323">
        <v>430030304</v>
      </c>
      <c r="B323" t="s">
        <v>561</v>
      </c>
      <c r="C323" t="s">
        <v>561</v>
      </c>
      <c r="D323" t="s">
        <v>561</v>
      </c>
      <c r="E323" t="s">
        <v>561</v>
      </c>
      <c r="F323" t="s">
        <v>487</v>
      </c>
      <c r="G323" t="s">
        <v>487</v>
      </c>
      <c r="H323" t="s">
        <v>487</v>
      </c>
      <c r="I323" t="s">
        <v>487</v>
      </c>
    </row>
    <row r="324" spans="1:9" x14ac:dyDescent="0.3">
      <c r="A324">
        <v>430030602</v>
      </c>
      <c r="B324" t="s">
        <v>561</v>
      </c>
      <c r="C324" t="s">
        <v>561</v>
      </c>
      <c r="D324" t="s">
        <v>561</v>
      </c>
      <c r="E324" t="s">
        <v>561</v>
      </c>
      <c r="F324" t="s">
        <v>487</v>
      </c>
      <c r="G324" t="s">
        <v>487</v>
      </c>
      <c r="H324" t="s">
        <v>487</v>
      </c>
      <c r="I324" t="s">
        <v>487</v>
      </c>
    </row>
    <row r="325" spans="1:9" x14ac:dyDescent="0.3">
      <c r="A325">
        <v>430030604</v>
      </c>
      <c r="B325" t="s">
        <v>561</v>
      </c>
      <c r="C325" t="s">
        <v>561</v>
      </c>
      <c r="D325" t="s">
        <v>561</v>
      </c>
      <c r="E325" t="s">
        <v>561</v>
      </c>
      <c r="F325" t="s">
        <v>487</v>
      </c>
      <c r="G325" t="s">
        <v>487</v>
      </c>
      <c r="H325" t="s">
        <v>487</v>
      </c>
      <c r="I325" t="s">
        <v>487</v>
      </c>
    </row>
    <row r="326" spans="1:9" x14ac:dyDescent="0.3">
      <c r="A326">
        <v>430030702</v>
      </c>
      <c r="B326" t="s">
        <v>561</v>
      </c>
      <c r="C326" t="s">
        <v>561</v>
      </c>
      <c r="D326" t="s">
        <v>561</v>
      </c>
      <c r="E326" t="s">
        <v>561</v>
      </c>
      <c r="F326" t="s">
        <v>487</v>
      </c>
      <c r="G326" t="s">
        <v>487</v>
      </c>
      <c r="H326" t="s">
        <v>487</v>
      </c>
      <c r="I326" t="s">
        <v>487</v>
      </c>
    </row>
    <row r="327" spans="1:9" x14ac:dyDescent="0.3">
      <c r="A327">
        <v>430030704</v>
      </c>
      <c r="B327" t="s">
        <v>561</v>
      </c>
      <c r="C327" t="s">
        <v>561</v>
      </c>
      <c r="D327" t="s">
        <v>561</v>
      </c>
      <c r="E327" t="s">
        <v>561</v>
      </c>
      <c r="F327" t="s">
        <v>487</v>
      </c>
      <c r="G327" t="s">
        <v>487</v>
      </c>
      <c r="H327" t="s">
        <v>487</v>
      </c>
      <c r="I327" t="s">
        <v>487</v>
      </c>
    </row>
    <row r="328" spans="1:9" x14ac:dyDescent="0.3">
      <c r="A328">
        <v>430030910</v>
      </c>
      <c r="B328" t="s">
        <v>561</v>
      </c>
      <c r="C328" t="s">
        <v>561</v>
      </c>
      <c r="D328" t="s">
        <v>561</v>
      </c>
      <c r="E328" t="s">
        <v>561</v>
      </c>
      <c r="F328" t="s">
        <v>487</v>
      </c>
      <c r="G328" t="s">
        <v>487</v>
      </c>
      <c r="H328" t="s">
        <v>487</v>
      </c>
      <c r="I328" t="s">
        <v>487</v>
      </c>
    </row>
    <row r="329" spans="1:9" x14ac:dyDescent="0.3">
      <c r="A329">
        <v>430030911</v>
      </c>
      <c r="B329" t="s">
        <v>561</v>
      </c>
      <c r="C329" t="s">
        <v>561</v>
      </c>
      <c r="D329" t="s">
        <v>561</v>
      </c>
      <c r="E329" t="s">
        <v>561</v>
      </c>
      <c r="F329" t="s">
        <v>487</v>
      </c>
      <c r="G329" t="s">
        <v>487</v>
      </c>
      <c r="H329" t="s">
        <v>487</v>
      </c>
      <c r="I329" t="s">
        <v>487</v>
      </c>
    </row>
    <row r="330" spans="1:9" x14ac:dyDescent="0.3">
      <c r="A330">
        <v>430031010</v>
      </c>
      <c r="B330" t="s">
        <v>561</v>
      </c>
      <c r="C330" t="s">
        <v>561</v>
      </c>
      <c r="D330" t="s">
        <v>561</v>
      </c>
      <c r="E330" t="s">
        <v>561</v>
      </c>
      <c r="F330" t="s">
        <v>487</v>
      </c>
      <c r="G330" t="s">
        <v>487</v>
      </c>
      <c r="H330" t="s">
        <v>487</v>
      </c>
      <c r="I330" t="s">
        <v>487</v>
      </c>
    </row>
    <row r="331" spans="1:9" x14ac:dyDescent="0.3">
      <c r="A331">
        <v>430031011</v>
      </c>
      <c r="B331" t="s">
        <v>561</v>
      </c>
      <c r="C331" t="s">
        <v>561</v>
      </c>
      <c r="D331" t="s">
        <v>561</v>
      </c>
      <c r="E331" t="s">
        <v>561</v>
      </c>
      <c r="F331" t="s">
        <v>487</v>
      </c>
      <c r="G331" t="s">
        <v>487</v>
      </c>
      <c r="H331" t="s">
        <v>487</v>
      </c>
      <c r="I331" t="s">
        <v>487</v>
      </c>
    </row>
    <row r="332" spans="1:9" x14ac:dyDescent="0.3">
      <c r="A332">
        <v>430031110</v>
      </c>
      <c r="B332" t="s">
        <v>561</v>
      </c>
      <c r="C332" t="s">
        <v>561</v>
      </c>
      <c r="D332" t="s">
        <v>561</v>
      </c>
      <c r="E332" t="s">
        <v>561</v>
      </c>
      <c r="F332" t="s">
        <v>487</v>
      </c>
      <c r="G332" t="s">
        <v>487</v>
      </c>
      <c r="H332" t="s">
        <v>487</v>
      </c>
      <c r="I332" t="s">
        <v>487</v>
      </c>
    </row>
    <row r="333" spans="1:9" x14ac:dyDescent="0.3">
      <c r="A333">
        <v>430031111</v>
      </c>
      <c r="B333" t="s">
        <v>561</v>
      </c>
      <c r="C333" t="s">
        <v>561</v>
      </c>
      <c r="D333" t="s">
        <v>561</v>
      </c>
      <c r="E333" t="s">
        <v>561</v>
      </c>
      <c r="F333" t="s">
        <v>487</v>
      </c>
      <c r="G333" t="s">
        <v>487</v>
      </c>
      <c r="H333" t="s">
        <v>487</v>
      </c>
      <c r="I333" t="s">
        <v>487</v>
      </c>
    </row>
    <row r="334" spans="1:9" x14ac:dyDescent="0.3">
      <c r="A334">
        <v>430031210</v>
      </c>
      <c r="B334" t="s">
        <v>561</v>
      </c>
      <c r="C334" t="s">
        <v>561</v>
      </c>
      <c r="D334" t="s">
        <v>561</v>
      </c>
      <c r="E334" t="s">
        <v>561</v>
      </c>
      <c r="F334" t="s">
        <v>487</v>
      </c>
      <c r="G334" t="s">
        <v>487</v>
      </c>
      <c r="H334" t="s">
        <v>487</v>
      </c>
      <c r="I334" t="s">
        <v>487</v>
      </c>
    </row>
    <row r="335" spans="1:9" x14ac:dyDescent="0.3">
      <c r="A335">
        <v>430031211</v>
      </c>
      <c r="B335" t="s">
        <v>561</v>
      </c>
      <c r="C335" t="s">
        <v>561</v>
      </c>
      <c r="D335" t="s">
        <v>561</v>
      </c>
      <c r="E335" t="s">
        <v>561</v>
      </c>
      <c r="F335" t="s">
        <v>487</v>
      </c>
      <c r="G335" t="s">
        <v>487</v>
      </c>
      <c r="H335" t="s">
        <v>487</v>
      </c>
      <c r="I335" t="s">
        <v>487</v>
      </c>
    </row>
    <row r="336" spans="1:9" x14ac:dyDescent="0.3">
      <c r="A336">
        <v>430031711</v>
      </c>
      <c r="B336" t="s">
        <v>561</v>
      </c>
      <c r="C336" t="s">
        <v>561</v>
      </c>
      <c r="D336" t="s">
        <v>561</v>
      </c>
      <c r="E336" t="s">
        <v>561</v>
      </c>
      <c r="F336" t="s">
        <v>487</v>
      </c>
      <c r="G336" t="s">
        <v>487</v>
      </c>
      <c r="H336" t="s">
        <v>487</v>
      </c>
      <c r="I336" t="s">
        <v>487</v>
      </c>
    </row>
    <row r="337" spans="1:9" x14ac:dyDescent="0.3">
      <c r="A337">
        <v>430031810</v>
      </c>
      <c r="B337" t="s">
        <v>561</v>
      </c>
      <c r="C337" t="s">
        <v>561</v>
      </c>
      <c r="D337" t="s">
        <v>561</v>
      </c>
      <c r="E337" t="s">
        <v>561</v>
      </c>
      <c r="F337" t="s">
        <v>487</v>
      </c>
      <c r="G337" t="s">
        <v>487</v>
      </c>
      <c r="H337" t="s">
        <v>487</v>
      </c>
      <c r="I337" t="s">
        <v>487</v>
      </c>
    </row>
    <row r="338" spans="1:9" x14ac:dyDescent="0.3">
      <c r="A338">
        <v>430031811</v>
      </c>
      <c r="B338" t="s">
        <v>561</v>
      </c>
      <c r="C338" t="s">
        <v>561</v>
      </c>
      <c r="D338" t="s">
        <v>561</v>
      </c>
      <c r="E338" t="s">
        <v>561</v>
      </c>
      <c r="F338" t="s">
        <v>487</v>
      </c>
      <c r="G338" t="s">
        <v>487</v>
      </c>
      <c r="H338" t="s">
        <v>487</v>
      </c>
      <c r="I338" t="s">
        <v>487</v>
      </c>
    </row>
    <row r="339" spans="1:9" x14ac:dyDescent="0.3">
      <c r="A339">
        <v>430031812</v>
      </c>
      <c r="B339" t="s">
        <v>561</v>
      </c>
      <c r="C339" t="s">
        <v>561</v>
      </c>
      <c r="D339" t="s">
        <v>561</v>
      </c>
      <c r="E339" t="s">
        <v>561</v>
      </c>
      <c r="F339" t="s">
        <v>487</v>
      </c>
      <c r="G339" t="s">
        <v>487</v>
      </c>
      <c r="H339" t="s">
        <v>487</v>
      </c>
      <c r="I339" t="s">
        <v>487</v>
      </c>
    </row>
    <row r="340" spans="1:9" x14ac:dyDescent="0.3">
      <c r="A340">
        <v>430031911</v>
      </c>
      <c r="B340" t="s">
        <v>561</v>
      </c>
      <c r="C340" t="s">
        <v>561</v>
      </c>
      <c r="D340" t="s">
        <v>561</v>
      </c>
      <c r="E340" t="s">
        <v>561</v>
      </c>
      <c r="F340" t="s">
        <v>487</v>
      </c>
      <c r="G340" t="s">
        <v>487</v>
      </c>
      <c r="H340" t="s">
        <v>487</v>
      </c>
      <c r="I340" t="s">
        <v>487</v>
      </c>
    </row>
    <row r="341" spans="1:9" x14ac:dyDescent="0.3">
      <c r="A341">
        <v>430031912</v>
      </c>
      <c r="B341" t="s">
        <v>561</v>
      </c>
      <c r="C341" t="s">
        <v>561</v>
      </c>
      <c r="D341" t="s">
        <v>561</v>
      </c>
      <c r="E341" t="s">
        <v>561</v>
      </c>
      <c r="F341" t="s">
        <v>487</v>
      </c>
      <c r="G341" t="s">
        <v>487</v>
      </c>
      <c r="H341" t="s">
        <v>487</v>
      </c>
      <c r="I341" t="s">
        <v>487</v>
      </c>
    </row>
    <row r="342" spans="1:9" x14ac:dyDescent="0.3">
      <c r="A342">
        <v>430032011</v>
      </c>
      <c r="B342" t="s">
        <v>561</v>
      </c>
      <c r="C342" t="s">
        <v>561</v>
      </c>
      <c r="D342" t="s">
        <v>561</v>
      </c>
      <c r="E342" t="s">
        <v>561</v>
      </c>
      <c r="F342" t="s">
        <v>487</v>
      </c>
      <c r="G342" t="s">
        <v>487</v>
      </c>
      <c r="H342" t="s">
        <v>487</v>
      </c>
      <c r="I342" t="s">
        <v>487</v>
      </c>
    </row>
    <row r="343" spans="1:9" x14ac:dyDescent="0.3">
      <c r="A343">
        <v>430032012</v>
      </c>
      <c r="B343" t="s">
        <v>561</v>
      </c>
      <c r="C343" t="s">
        <v>561</v>
      </c>
      <c r="D343" t="s">
        <v>561</v>
      </c>
      <c r="E343" t="s">
        <v>561</v>
      </c>
      <c r="F343" t="s">
        <v>487</v>
      </c>
      <c r="G343" t="s">
        <v>487</v>
      </c>
      <c r="H343" t="s">
        <v>487</v>
      </c>
      <c r="I343" t="s">
        <v>487</v>
      </c>
    </row>
    <row r="344" spans="1:9" x14ac:dyDescent="0.3">
      <c r="A344">
        <v>430032110</v>
      </c>
      <c r="B344" t="s">
        <v>561</v>
      </c>
      <c r="C344" t="s">
        <v>561</v>
      </c>
      <c r="D344" t="s">
        <v>561</v>
      </c>
      <c r="E344" t="s">
        <v>561</v>
      </c>
      <c r="F344" t="s">
        <v>487</v>
      </c>
      <c r="G344" t="s">
        <v>487</v>
      </c>
      <c r="H344" t="s">
        <v>487</v>
      </c>
      <c r="I344" t="s">
        <v>487</v>
      </c>
    </row>
    <row r="345" spans="1:9" x14ac:dyDescent="0.3">
      <c r="A345">
        <v>430032111</v>
      </c>
      <c r="B345" t="s">
        <v>561</v>
      </c>
      <c r="C345" t="s">
        <v>561</v>
      </c>
      <c r="D345" t="s">
        <v>561</v>
      </c>
      <c r="E345" t="s">
        <v>561</v>
      </c>
      <c r="F345" t="s">
        <v>487</v>
      </c>
      <c r="G345" t="s">
        <v>487</v>
      </c>
      <c r="H345" t="s">
        <v>487</v>
      </c>
      <c r="I345" t="s">
        <v>487</v>
      </c>
    </row>
    <row r="346" spans="1:9" x14ac:dyDescent="0.3">
      <c r="A346">
        <v>430032208</v>
      </c>
      <c r="B346" t="s">
        <v>561</v>
      </c>
      <c r="C346" t="s">
        <v>561</v>
      </c>
      <c r="D346" t="s">
        <v>561</v>
      </c>
      <c r="E346" t="s">
        <v>561</v>
      </c>
      <c r="F346" t="s">
        <v>487</v>
      </c>
      <c r="G346" t="s">
        <v>487</v>
      </c>
      <c r="H346" t="s">
        <v>487</v>
      </c>
      <c r="I346" t="s">
        <v>487</v>
      </c>
    </row>
    <row r="347" spans="1:9" x14ac:dyDescent="0.3">
      <c r="A347">
        <v>430032213</v>
      </c>
      <c r="B347" t="s">
        <v>561</v>
      </c>
      <c r="C347" t="s">
        <v>561</v>
      </c>
      <c r="D347" t="s">
        <v>561</v>
      </c>
      <c r="E347" t="s">
        <v>561</v>
      </c>
      <c r="F347" t="s">
        <v>487</v>
      </c>
      <c r="G347" t="s">
        <v>487</v>
      </c>
      <c r="H347" t="s">
        <v>487</v>
      </c>
      <c r="I347" t="s">
        <v>487</v>
      </c>
    </row>
    <row r="348" spans="1:9" x14ac:dyDescent="0.3">
      <c r="A348">
        <v>430032408</v>
      </c>
      <c r="B348" t="s">
        <v>561</v>
      </c>
      <c r="C348" t="s">
        <v>561</v>
      </c>
      <c r="D348" t="s">
        <v>561</v>
      </c>
      <c r="E348" t="s">
        <v>561</v>
      </c>
      <c r="F348" t="s">
        <v>487</v>
      </c>
      <c r="G348" t="s">
        <v>487</v>
      </c>
      <c r="H348" t="s">
        <v>487</v>
      </c>
      <c r="I348" t="s">
        <v>487</v>
      </c>
    </row>
    <row r="349" spans="1:9" x14ac:dyDescent="0.3">
      <c r="A349">
        <v>430032409</v>
      </c>
      <c r="B349" t="s">
        <v>561</v>
      </c>
      <c r="C349" t="s">
        <v>561</v>
      </c>
      <c r="D349" t="s">
        <v>561</v>
      </c>
      <c r="E349" t="s">
        <v>561</v>
      </c>
      <c r="F349" t="s">
        <v>487</v>
      </c>
      <c r="G349" t="s">
        <v>487</v>
      </c>
      <c r="H349" t="s">
        <v>487</v>
      </c>
      <c r="I349" t="s">
        <v>487</v>
      </c>
    </row>
    <row r="350" spans="1:9" x14ac:dyDescent="0.3">
      <c r="A350">
        <v>430032506</v>
      </c>
      <c r="B350" t="s">
        <v>561</v>
      </c>
      <c r="C350" t="s">
        <v>561</v>
      </c>
      <c r="D350" t="s">
        <v>561</v>
      </c>
      <c r="E350" t="s">
        <v>561</v>
      </c>
      <c r="F350" t="s">
        <v>487</v>
      </c>
      <c r="G350" t="s">
        <v>487</v>
      </c>
      <c r="H350" t="s">
        <v>487</v>
      </c>
      <c r="I350" t="s">
        <v>487</v>
      </c>
    </row>
    <row r="351" spans="1:9" x14ac:dyDescent="0.3">
      <c r="A351">
        <v>430032509</v>
      </c>
      <c r="B351" t="s">
        <v>561</v>
      </c>
      <c r="C351" t="s">
        <v>561</v>
      </c>
      <c r="D351" t="s">
        <v>561</v>
      </c>
      <c r="E351" t="s">
        <v>561</v>
      </c>
      <c r="F351" t="s">
        <v>487</v>
      </c>
      <c r="G351" t="s">
        <v>487</v>
      </c>
      <c r="H351" t="s">
        <v>487</v>
      </c>
      <c r="I351" t="s">
        <v>487</v>
      </c>
    </row>
    <row r="352" spans="1:9" x14ac:dyDescent="0.3">
      <c r="A352">
        <v>430032606</v>
      </c>
      <c r="B352" t="s">
        <v>561</v>
      </c>
      <c r="C352" t="s">
        <v>561</v>
      </c>
      <c r="D352" t="s">
        <v>561</v>
      </c>
      <c r="E352" t="s">
        <v>561</v>
      </c>
      <c r="F352" t="s">
        <v>487</v>
      </c>
      <c r="G352" t="s">
        <v>487</v>
      </c>
      <c r="H352" t="s">
        <v>487</v>
      </c>
      <c r="I352" t="s">
        <v>487</v>
      </c>
    </row>
    <row r="353" spans="1:9" x14ac:dyDescent="0.3">
      <c r="A353">
        <v>430032609</v>
      </c>
      <c r="B353" t="s">
        <v>561</v>
      </c>
      <c r="C353" t="s">
        <v>561</v>
      </c>
      <c r="D353" t="s">
        <v>561</v>
      </c>
      <c r="E353" t="s">
        <v>561</v>
      </c>
      <c r="F353" t="s">
        <v>487</v>
      </c>
      <c r="G353" t="s">
        <v>487</v>
      </c>
      <c r="H353" t="s">
        <v>487</v>
      </c>
      <c r="I353" t="s">
        <v>487</v>
      </c>
    </row>
    <row r="354" spans="1:9" x14ac:dyDescent="0.3">
      <c r="A354">
        <v>430040157</v>
      </c>
      <c r="B354" t="s">
        <v>561</v>
      </c>
      <c r="C354" t="s">
        <v>561</v>
      </c>
      <c r="D354" t="s">
        <v>561</v>
      </c>
      <c r="E354" t="s">
        <v>561</v>
      </c>
      <c r="F354" t="s">
        <v>487</v>
      </c>
      <c r="G354" t="s">
        <v>487</v>
      </c>
      <c r="H354" t="s">
        <v>487</v>
      </c>
      <c r="I354" t="s">
        <v>487</v>
      </c>
    </row>
    <row r="355" spans="1:9" x14ac:dyDescent="0.3">
      <c r="A355">
        <v>430040257</v>
      </c>
      <c r="B355" t="s">
        <v>561</v>
      </c>
      <c r="C355" t="s">
        <v>561</v>
      </c>
      <c r="D355" t="s">
        <v>561</v>
      </c>
      <c r="E355" t="s">
        <v>561</v>
      </c>
      <c r="F355" t="s">
        <v>487</v>
      </c>
      <c r="G355" t="s">
        <v>487</v>
      </c>
      <c r="H355" t="s">
        <v>487</v>
      </c>
      <c r="I355" t="s">
        <v>487</v>
      </c>
    </row>
    <row r="356" spans="1:9" x14ac:dyDescent="0.3">
      <c r="A356">
        <v>430040357</v>
      </c>
      <c r="B356" t="s">
        <v>561</v>
      </c>
      <c r="C356" t="s">
        <v>561</v>
      </c>
      <c r="D356" t="s">
        <v>561</v>
      </c>
      <c r="E356" t="s">
        <v>561</v>
      </c>
      <c r="F356" t="s">
        <v>487</v>
      </c>
      <c r="G356" t="s">
        <v>487</v>
      </c>
      <c r="H356" t="s">
        <v>487</v>
      </c>
      <c r="I356" t="s">
        <v>487</v>
      </c>
    </row>
    <row r="357" spans="1:9" x14ac:dyDescent="0.3">
      <c r="A357">
        <v>430040457</v>
      </c>
      <c r="B357" t="s">
        <v>561</v>
      </c>
      <c r="C357" t="s">
        <v>561</v>
      </c>
      <c r="D357" t="s">
        <v>561</v>
      </c>
      <c r="E357" t="s">
        <v>561</v>
      </c>
      <c r="F357" t="s">
        <v>487</v>
      </c>
      <c r="G357" t="s">
        <v>487</v>
      </c>
      <c r="H357" t="s">
        <v>487</v>
      </c>
      <c r="I357" t="s">
        <v>487</v>
      </c>
    </row>
    <row r="358" spans="1:9" x14ac:dyDescent="0.3">
      <c r="A358">
        <v>430040557</v>
      </c>
      <c r="B358" t="s">
        <v>561</v>
      </c>
      <c r="C358" t="s">
        <v>561</v>
      </c>
      <c r="D358" t="s">
        <v>561</v>
      </c>
      <c r="E358" t="s">
        <v>561</v>
      </c>
      <c r="F358" t="s">
        <v>487</v>
      </c>
      <c r="G358" t="s">
        <v>487</v>
      </c>
      <c r="H358" t="s">
        <v>487</v>
      </c>
      <c r="I358" t="s">
        <v>487</v>
      </c>
    </row>
    <row r="359" spans="1:9" x14ac:dyDescent="0.3">
      <c r="A359">
        <v>430040657</v>
      </c>
      <c r="B359" t="s">
        <v>561</v>
      </c>
      <c r="C359" t="s">
        <v>561</v>
      </c>
      <c r="D359" t="s">
        <v>561</v>
      </c>
      <c r="E359" t="s">
        <v>561</v>
      </c>
      <c r="F359" t="s">
        <v>487</v>
      </c>
      <c r="G359" t="s">
        <v>487</v>
      </c>
      <c r="H359" t="s">
        <v>487</v>
      </c>
      <c r="I359" t="s">
        <v>487</v>
      </c>
    </row>
    <row r="360" spans="1:9" x14ac:dyDescent="0.3">
      <c r="A360">
        <v>430040758</v>
      </c>
      <c r="B360" t="s">
        <v>561</v>
      </c>
      <c r="C360" t="s">
        <v>561</v>
      </c>
      <c r="D360" t="s">
        <v>561</v>
      </c>
      <c r="E360" t="s">
        <v>561</v>
      </c>
      <c r="F360" t="s">
        <v>487</v>
      </c>
      <c r="G360" t="s">
        <v>487</v>
      </c>
      <c r="H360" t="s">
        <v>487</v>
      </c>
      <c r="I360" t="s">
        <v>487</v>
      </c>
    </row>
    <row r="361" spans="1:9" x14ac:dyDescent="0.3">
      <c r="A361">
        <v>430040857</v>
      </c>
      <c r="B361" t="s">
        <v>561</v>
      </c>
      <c r="C361" t="s">
        <v>561</v>
      </c>
      <c r="D361" t="s">
        <v>561</v>
      </c>
      <c r="E361" t="s">
        <v>561</v>
      </c>
      <c r="F361" t="s">
        <v>487</v>
      </c>
      <c r="G361" t="s">
        <v>487</v>
      </c>
      <c r="H361" t="s">
        <v>487</v>
      </c>
      <c r="I361" t="s">
        <v>487</v>
      </c>
    </row>
    <row r="362" spans="1:9" x14ac:dyDescent="0.3">
      <c r="A362">
        <v>430041357</v>
      </c>
      <c r="B362" t="s">
        <v>561</v>
      </c>
      <c r="C362" t="s">
        <v>561</v>
      </c>
      <c r="D362" t="s">
        <v>561</v>
      </c>
      <c r="E362" t="s">
        <v>561</v>
      </c>
      <c r="F362" t="s">
        <v>487</v>
      </c>
      <c r="G362" t="s">
        <v>487</v>
      </c>
      <c r="H362" t="s">
        <v>487</v>
      </c>
      <c r="I362" t="s">
        <v>487</v>
      </c>
    </row>
    <row r="363" spans="1:9" x14ac:dyDescent="0.3">
      <c r="A363">
        <v>430041457</v>
      </c>
      <c r="B363" t="s">
        <v>561</v>
      </c>
      <c r="C363" t="s">
        <v>561</v>
      </c>
      <c r="D363" t="s">
        <v>561</v>
      </c>
      <c r="E363" t="s">
        <v>561</v>
      </c>
      <c r="F363" t="s">
        <v>487</v>
      </c>
      <c r="G363" t="s">
        <v>487</v>
      </c>
      <c r="H363" t="s">
        <v>487</v>
      </c>
      <c r="I363" t="s">
        <v>487</v>
      </c>
    </row>
    <row r="364" spans="1:9" x14ac:dyDescent="0.3">
      <c r="A364">
        <v>430041557</v>
      </c>
      <c r="B364" t="s">
        <v>561</v>
      </c>
      <c r="C364" t="s">
        <v>561</v>
      </c>
      <c r="D364" t="s">
        <v>561</v>
      </c>
      <c r="E364" t="s">
        <v>561</v>
      </c>
      <c r="F364" t="s">
        <v>487</v>
      </c>
      <c r="G364" t="s">
        <v>487</v>
      </c>
      <c r="H364" t="s">
        <v>487</v>
      </c>
      <c r="I364" t="s">
        <v>487</v>
      </c>
    </row>
    <row r="365" spans="1:9" x14ac:dyDescent="0.3">
      <c r="A365">
        <v>430042957</v>
      </c>
      <c r="B365" t="s">
        <v>561</v>
      </c>
      <c r="C365" t="s">
        <v>561</v>
      </c>
      <c r="D365" t="s">
        <v>561</v>
      </c>
      <c r="E365" t="s">
        <v>561</v>
      </c>
      <c r="F365" t="s">
        <v>487</v>
      </c>
      <c r="G365" t="s">
        <v>487</v>
      </c>
      <c r="H365" t="s">
        <v>487</v>
      </c>
      <c r="I365" t="s">
        <v>487</v>
      </c>
    </row>
    <row r="366" spans="1:9" x14ac:dyDescent="0.3">
      <c r="A366">
        <v>430043057</v>
      </c>
      <c r="B366" t="s">
        <v>561</v>
      </c>
      <c r="C366" t="s">
        <v>561</v>
      </c>
      <c r="D366" t="s">
        <v>561</v>
      </c>
      <c r="E366" t="s">
        <v>561</v>
      </c>
      <c r="F366" t="s">
        <v>487</v>
      </c>
      <c r="G366" t="s">
        <v>487</v>
      </c>
      <c r="H366" t="s">
        <v>487</v>
      </c>
      <c r="I366" t="s">
        <v>487</v>
      </c>
    </row>
    <row r="367" spans="1:9" x14ac:dyDescent="0.3">
      <c r="A367">
        <v>430043157</v>
      </c>
      <c r="B367" t="s">
        <v>561</v>
      </c>
      <c r="C367" t="s">
        <v>561</v>
      </c>
      <c r="D367" t="s">
        <v>561</v>
      </c>
      <c r="E367" t="s">
        <v>561</v>
      </c>
      <c r="F367" t="s">
        <v>487</v>
      </c>
      <c r="G367" t="s">
        <v>487</v>
      </c>
      <c r="H367" t="s">
        <v>487</v>
      </c>
      <c r="I367" t="s">
        <v>487</v>
      </c>
    </row>
    <row r="368" spans="1:9" x14ac:dyDescent="0.3">
      <c r="A368">
        <v>430060104</v>
      </c>
      <c r="B368" t="s">
        <v>561</v>
      </c>
      <c r="C368" t="s">
        <v>561</v>
      </c>
      <c r="D368" t="s">
        <v>561</v>
      </c>
      <c r="E368" t="s">
        <v>561</v>
      </c>
      <c r="F368" t="s">
        <v>487</v>
      </c>
      <c r="G368" t="s">
        <v>487</v>
      </c>
      <c r="H368" t="s">
        <v>487</v>
      </c>
      <c r="I368" t="s">
        <v>487</v>
      </c>
    </row>
    <row r="369" spans="1:9" x14ac:dyDescent="0.3">
      <c r="A369">
        <v>430060204</v>
      </c>
      <c r="B369" t="s">
        <v>561</v>
      </c>
      <c r="C369" t="s">
        <v>561</v>
      </c>
      <c r="D369" t="s">
        <v>561</v>
      </c>
      <c r="E369" t="s">
        <v>561</v>
      </c>
      <c r="F369" t="s">
        <v>487</v>
      </c>
      <c r="G369" t="s">
        <v>487</v>
      </c>
      <c r="H369" t="s">
        <v>487</v>
      </c>
      <c r="I369" t="s">
        <v>487</v>
      </c>
    </row>
    <row r="370" spans="1:9" x14ac:dyDescent="0.3">
      <c r="A370">
        <v>430060304</v>
      </c>
      <c r="B370" t="s">
        <v>561</v>
      </c>
      <c r="C370" t="s">
        <v>561</v>
      </c>
      <c r="D370" t="s">
        <v>561</v>
      </c>
      <c r="E370" t="s">
        <v>561</v>
      </c>
      <c r="F370" t="s">
        <v>487</v>
      </c>
      <c r="G370" t="s">
        <v>487</v>
      </c>
      <c r="H370" t="s">
        <v>487</v>
      </c>
      <c r="I370" t="s">
        <v>487</v>
      </c>
    </row>
    <row r="371" spans="1:9" x14ac:dyDescent="0.3">
      <c r="A371">
        <v>430060404</v>
      </c>
      <c r="B371" t="s">
        <v>561</v>
      </c>
      <c r="C371" t="s">
        <v>561</v>
      </c>
      <c r="D371" t="s">
        <v>561</v>
      </c>
      <c r="E371" t="s">
        <v>561</v>
      </c>
      <c r="F371" t="s">
        <v>487</v>
      </c>
      <c r="G371" t="s">
        <v>487</v>
      </c>
      <c r="H371" t="s">
        <v>487</v>
      </c>
      <c r="I371" t="s">
        <v>487</v>
      </c>
    </row>
    <row r="372" spans="1:9" x14ac:dyDescent="0.3">
      <c r="A372">
        <v>430066304</v>
      </c>
      <c r="B372" t="s">
        <v>561</v>
      </c>
      <c r="C372" t="s">
        <v>561</v>
      </c>
      <c r="D372" t="s">
        <v>561</v>
      </c>
      <c r="E372" t="s">
        <v>561</v>
      </c>
      <c r="F372" t="s">
        <v>487</v>
      </c>
      <c r="G372" t="s">
        <v>487</v>
      </c>
      <c r="H372" t="s">
        <v>487</v>
      </c>
      <c r="I372" t="s">
        <v>487</v>
      </c>
    </row>
    <row r="373" spans="1:9" x14ac:dyDescent="0.3">
      <c r="A373">
        <v>430075565</v>
      </c>
      <c r="B373" t="s">
        <v>561</v>
      </c>
      <c r="C373" t="s">
        <v>561</v>
      </c>
      <c r="D373" t="s">
        <v>561</v>
      </c>
      <c r="E373" t="s">
        <v>561</v>
      </c>
      <c r="F373" t="s">
        <v>487</v>
      </c>
      <c r="G373" t="s">
        <v>487</v>
      </c>
      <c r="H373" t="s">
        <v>487</v>
      </c>
      <c r="I373" t="s">
        <v>487</v>
      </c>
    </row>
    <row r="374" spans="1:9" x14ac:dyDescent="0.3">
      <c r="A374">
        <v>430080004</v>
      </c>
      <c r="B374" t="s">
        <v>561</v>
      </c>
      <c r="C374" t="s">
        <v>561</v>
      </c>
      <c r="D374" t="s">
        <v>561</v>
      </c>
      <c r="E374" t="s">
        <v>561</v>
      </c>
      <c r="F374" t="s">
        <v>487</v>
      </c>
      <c r="G374" t="s">
        <v>487</v>
      </c>
      <c r="H374" t="s">
        <v>487</v>
      </c>
      <c r="I374" t="s">
        <v>487</v>
      </c>
    </row>
    <row r="375" spans="1:9" x14ac:dyDescent="0.3">
      <c r="A375">
        <v>430080024</v>
      </c>
      <c r="B375" t="s">
        <v>561</v>
      </c>
      <c r="C375" t="s">
        <v>561</v>
      </c>
      <c r="D375" t="s">
        <v>561</v>
      </c>
      <c r="E375" t="s">
        <v>561</v>
      </c>
      <c r="F375" t="s">
        <v>487</v>
      </c>
      <c r="G375" t="s">
        <v>487</v>
      </c>
      <c r="H375" t="s">
        <v>487</v>
      </c>
      <c r="I375" t="s">
        <v>487</v>
      </c>
    </row>
    <row r="376" spans="1:9" x14ac:dyDescent="0.3">
      <c r="A376">
        <v>430080086</v>
      </c>
      <c r="B376" t="s">
        <v>561</v>
      </c>
      <c r="C376" t="s">
        <v>561</v>
      </c>
      <c r="D376" t="s">
        <v>561</v>
      </c>
      <c r="E376" t="s">
        <v>561</v>
      </c>
      <c r="F376" t="s">
        <v>487</v>
      </c>
      <c r="G376" t="s">
        <v>487</v>
      </c>
      <c r="H376" t="s">
        <v>487</v>
      </c>
      <c r="I376" t="s">
        <v>487</v>
      </c>
    </row>
    <row r="377" spans="1:9" x14ac:dyDescent="0.3">
      <c r="A377">
        <v>430080295</v>
      </c>
      <c r="B377" t="s">
        <v>561</v>
      </c>
      <c r="C377" t="s">
        <v>561</v>
      </c>
      <c r="D377" t="s">
        <v>561</v>
      </c>
      <c r="E377" t="s">
        <v>561</v>
      </c>
      <c r="F377" t="s">
        <v>487</v>
      </c>
      <c r="G377" t="s">
        <v>487</v>
      </c>
      <c r="H377" t="s">
        <v>487</v>
      </c>
      <c r="I377" t="s">
        <v>487</v>
      </c>
    </row>
    <row r="378" spans="1:9" x14ac:dyDescent="0.3">
      <c r="A378">
        <v>430080395</v>
      </c>
      <c r="B378" t="s">
        <v>561</v>
      </c>
      <c r="C378" t="s">
        <v>561</v>
      </c>
      <c r="D378" t="s">
        <v>561</v>
      </c>
      <c r="E378" t="s">
        <v>561</v>
      </c>
      <c r="F378" t="s">
        <v>487</v>
      </c>
      <c r="G378" t="s">
        <v>487</v>
      </c>
      <c r="H378" t="s">
        <v>487</v>
      </c>
      <c r="I378" t="s">
        <v>487</v>
      </c>
    </row>
    <row r="379" spans="1:9" x14ac:dyDescent="0.3">
      <c r="A379">
        <v>430085094</v>
      </c>
      <c r="B379" t="s">
        <v>561</v>
      </c>
      <c r="C379" t="s">
        <v>561</v>
      </c>
      <c r="D379" t="s">
        <v>561</v>
      </c>
      <c r="E379" t="s">
        <v>561</v>
      </c>
      <c r="F379" t="s">
        <v>487</v>
      </c>
      <c r="G379" t="s">
        <v>487</v>
      </c>
      <c r="H379" t="s">
        <v>487</v>
      </c>
      <c r="I379" t="s">
        <v>487</v>
      </c>
    </row>
    <row r="380" spans="1:9" x14ac:dyDescent="0.3">
      <c r="A380">
        <v>430085095</v>
      </c>
      <c r="B380" t="s">
        <v>561</v>
      </c>
      <c r="C380" t="s">
        <v>561</v>
      </c>
      <c r="D380" t="s">
        <v>561</v>
      </c>
      <c r="E380" t="s">
        <v>561</v>
      </c>
      <c r="F380" t="s">
        <v>487</v>
      </c>
      <c r="G380" t="s">
        <v>487</v>
      </c>
      <c r="H380" t="s">
        <v>487</v>
      </c>
      <c r="I380" t="s">
        <v>487</v>
      </c>
    </row>
    <row r="381" spans="1:9" x14ac:dyDescent="0.3">
      <c r="A381">
        <v>430090260</v>
      </c>
      <c r="B381" t="s">
        <v>561</v>
      </c>
      <c r="C381" t="s">
        <v>561</v>
      </c>
      <c r="D381" t="s">
        <v>561</v>
      </c>
      <c r="E381" t="s">
        <v>561</v>
      </c>
      <c r="F381" t="s">
        <v>487</v>
      </c>
      <c r="G381" t="s">
        <v>487</v>
      </c>
      <c r="H381" t="s">
        <v>487</v>
      </c>
      <c r="I381" t="s">
        <v>487</v>
      </c>
    </row>
    <row r="382" spans="1:9" x14ac:dyDescent="0.3">
      <c r="A382">
        <v>430100106</v>
      </c>
      <c r="B382" t="s">
        <v>561</v>
      </c>
      <c r="C382" t="s">
        <v>561</v>
      </c>
      <c r="D382" t="s">
        <v>561</v>
      </c>
      <c r="E382" t="s">
        <v>561</v>
      </c>
      <c r="F382" t="s">
        <v>487</v>
      </c>
      <c r="G382" t="s">
        <v>487</v>
      </c>
      <c r="H382" t="s">
        <v>487</v>
      </c>
      <c r="I382" t="s">
        <v>487</v>
      </c>
    </row>
    <row r="383" spans="1:9" x14ac:dyDescent="0.3">
      <c r="A383">
        <v>430100206</v>
      </c>
      <c r="B383" t="s">
        <v>561</v>
      </c>
      <c r="C383" t="s">
        <v>561</v>
      </c>
      <c r="D383" t="s">
        <v>561</v>
      </c>
      <c r="E383" t="s">
        <v>561</v>
      </c>
      <c r="F383" t="s">
        <v>487</v>
      </c>
      <c r="G383" t="s">
        <v>487</v>
      </c>
      <c r="H383" t="s">
        <v>487</v>
      </c>
      <c r="I383" t="s">
        <v>487</v>
      </c>
    </row>
    <row r="384" spans="1:9" x14ac:dyDescent="0.3">
      <c r="A384">
        <v>430100306</v>
      </c>
      <c r="B384" t="s">
        <v>561</v>
      </c>
      <c r="C384" t="s">
        <v>561</v>
      </c>
      <c r="D384" t="s">
        <v>561</v>
      </c>
      <c r="E384" t="s">
        <v>561</v>
      </c>
      <c r="F384" t="s">
        <v>487</v>
      </c>
      <c r="G384" t="s">
        <v>487</v>
      </c>
      <c r="H384" t="s">
        <v>487</v>
      </c>
      <c r="I384" t="s">
        <v>487</v>
      </c>
    </row>
    <row r="385" spans="1:9" x14ac:dyDescent="0.3">
      <c r="A385">
        <v>430120509</v>
      </c>
      <c r="B385" t="s">
        <v>561</v>
      </c>
      <c r="C385" t="s">
        <v>561</v>
      </c>
      <c r="D385" t="s">
        <v>561</v>
      </c>
      <c r="E385" t="s">
        <v>561</v>
      </c>
      <c r="F385" t="s">
        <v>487</v>
      </c>
      <c r="G385" t="s">
        <v>487</v>
      </c>
      <c r="H385" t="s">
        <v>487</v>
      </c>
      <c r="I385" t="s">
        <v>487</v>
      </c>
    </row>
    <row r="386" spans="1:9" x14ac:dyDescent="0.3">
      <c r="A386">
        <v>430120514</v>
      </c>
      <c r="B386" t="s">
        <v>561</v>
      </c>
      <c r="C386" t="s">
        <v>561</v>
      </c>
      <c r="D386" t="s">
        <v>561</v>
      </c>
      <c r="E386" t="s">
        <v>561</v>
      </c>
      <c r="F386" t="s">
        <v>487</v>
      </c>
      <c r="G386" t="s">
        <v>487</v>
      </c>
      <c r="H386" t="s">
        <v>487</v>
      </c>
      <c r="I386" t="s">
        <v>487</v>
      </c>
    </row>
    <row r="387" spans="1:9" x14ac:dyDescent="0.3">
      <c r="A387">
        <v>430121108</v>
      </c>
      <c r="B387" t="s">
        <v>561</v>
      </c>
      <c r="C387" t="s">
        <v>561</v>
      </c>
      <c r="D387" t="s">
        <v>561</v>
      </c>
      <c r="E387" t="s">
        <v>561</v>
      </c>
      <c r="F387" t="s">
        <v>487</v>
      </c>
      <c r="G387" t="s">
        <v>487</v>
      </c>
      <c r="H387" t="s">
        <v>487</v>
      </c>
      <c r="I387" t="s">
        <v>487</v>
      </c>
    </row>
    <row r="388" spans="1:9" x14ac:dyDescent="0.3">
      <c r="A388">
        <v>430121208</v>
      </c>
      <c r="B388" t="s">
        <v>561</v>
      </c>
      <c r="C388" t="s">
        <v>561</v>
      </c>
      <c r="D388" t="s">
        <v>561</v>
      </c>
      <c r="E388" t="s">
        <v>561</v>
      </c>
      <c r="F388" t="s">
        <v>487</v>
      </c>
      <c r="G388" t="s">
        <v>487</v>
      </c>
      <c r="H388" t="s">
        <v>487</v>
      </c>
      <c r="I388" t="s">
        <v>487</v>
      </c>
    </row>
    <row r="389" spans="1:9" x14ac:dyDescent="0.3">
      <c r="A389">
        <v>430121308</v>
      </c>
      <c r="B389" t="s">
        <v>561</v>
      </c>
      <c r="C389" t="s">
        <v>561</v>
      </c>
      <c r="D389" t="s">
        <v>561</v>
      </c>
      <c r="E389" t="s">
        <v>561</v>
      </c>
      <c r="F389" t="s">
        <v>487</v>
      </c>
      <c r="G389" t="s">
        <v>487</v>
      </c>
      <c r="H389" t="s">
        <v>487</v>
      </c>
      <c r="I389" t="s">
        <v>487</v>
      </c>
    </row>
    <row r="390" spans="1:9" x14ac:dyDescent="0.3">
      <c r="A390">
        <v>430121509</v>
      </c>
      <c r="B390" t="s">
        <v>561</v>
      </c>
      <c r="C390" t="s">
        <v>561</v>
      </c>
      <c r="D390" t="s">
        <v>561</v>
      </c>
      <c r="E390" t="s">
        <v>561</v>
      </c>
      <c r="F390" t="s">
        <v>487</v>
      </c>
      <c r="G390" t="s">
        <v>487</v>
      </c>
      <c r="H390" t="s">
        <v>487</v>
      </c>
      <c r="I390" t="s">
        <v>487</v>
      </c>
    </row>
    <row r="391" spans="1:9" x14ac:dyDescent="0.3">
      <c r="A391">
        <v>430121514</v>
      </c>
      <c r="B391" t="s">
        <v>561</v>
      </c>
      <c r="C391" t="s">
        <v>561</v>
      </c>
      <c r="D391" t="s">
        <v>561</v>
      </c>
      <c r="E391" t="s">
        <v>561</v>
      </c>
      <c r="F391" t="s">
        <v>487</v>
      </c>
      <c r="G391" t="s">
        <v>487</v>
      </c>
      <c r="H391" t="s">
        <v>487</v>
      </c>
      <c r="I391" t="s">
        <v>487</v>
      </c>
    </row>
    <row r="392" spans="1:9" x14ac:dyDescent="0.3">
      <c r="A392">
        <v>430140034</v>
      </c>
      <c r="B392" t="s">
        <v>561</v>
      </c>
      <c r="C392" t="s">
        <v>561</v>
      </c>
      <c r="D392" t="s">
        <v>561</v>
      </c>
      <c r="E392" t="s">
        <v>561</v>
      </c>
      <c r="F392" t="s">
        <v>487</v>
      </c>
      <c r="G392" t="s">
        <v>487</v>
      </c>
      <c r="H392" t="s">
        <v>487</v>
      </c>
      <c r="I392" t="s">
        <v>487</v>
      </c>
    </row>
    <row r="393" spans="1:9" x14ac:dyDescent="0.3">
      <c r="A393">
        <v>430140233</v>
      </c>
      <c r="B393" t="s">
        <v>561</v>
      </c>
      <c r="C393" t="s">
        <v>561</v>
      </c>
      <c r="D393" t="s">
        <v>561</v>
      </c>
      <c r="E393" t="s">
        <v>561</v>
      </c>
      <c r="F393" t="s">
        <v>487</v>
      </c>
      <c r="G393" t="s">
        <v>487</v>
      </c>
      <c r="H393" t="s">
        <v>487</v>
      </c>
      <c r="I393" t="s">
        <v>487</v>
      </c>
    </row>
    <row r="394" spans="1:9" x14ac:dyDescent="0.3">
      <c r="A394">
        <v>430140234</v>
      </c>
      <c r="B394" t="s">
        <v>561</v>
      </c>
      <c r="C394" t="s">
        <v>561</v>
      </c>
      <c r="D394" t="s">
        <v>561</v>
      </c>
      <c r="E394" t="s">
        <v>561</v>
      </c>
      <c r="F394" t="s">
        <v>487</v>
      </c>
      <c r="G394" t="s">
        <v>487</v>
      </c>
      <c r="H394" t="s">
        <v>487</v>
      </c>
      <c r="I394" t="s">
        <v>487</v>
      </c>
    </row>
    <row r="395" spans="1:9" x14ac:dyDescent="0.3">
      <c r="A395">
        <v>430140425</v>
      </c>
      <c r="B395" t="s">
        <v>561</v>
      </c>
      <c r="C395" t="s">
        <v>561</v>
      </c>
      <c r="D395" t="s">
        <v>561</v>
      </c>
      <c r="E395" t="s">
        <v>561</v>
      </c>
      <c r="F395" t="s">
        <v>487</v>
      </c>
      <c r="G395" t="s">
        <v>487</v>
      </c>
      <c r="H395" t="s">
        <v>487</v>
      </c>
      <c r="I395" t="s">
        <v>487</v>
      </c>
    </row>
    <row r="396" spans="1:9" x14ac:dyDescent="0.3">
      <c r="A396">
        <v>430140525</v>
      </c>
      <c r="B396" t="s">
        <v>561</v>
      </c>
      <c r="C396" t="s">
        <v>561</v>
      </c>
      <c r="D396" t="s">
        <v>561</v>
      </c>
      <c r="E396" t="s">
        <v>561</v>
      </c>
      <c r="F396" t="s">
        <v>487</v>
      </c>
      <c r="G396" t="s">
        <v>487</v>
      </c>
      <c r="H396" t="s">
        <v>487</v>
      </c>
      <c r="I396" t="s">
        <v>487</v>
      </c>
    </row>
    <row r="397" spans="1:9" x14ac:dyDescent="0.3">
      <c r="A397">
        <v>430140533</v>
      </c>
      <c r="B397" t="s">
        <v>561</v>
      </c>
      <c r="C397" t="s">
        <v>561</v>
      </c>
      <c r="D397" t="s">
        <v>561</v>
      </c>
      <c r="E397" t="s">
        <v>561</v>
      </c>
      <c r="F397" t="s">
        <v>487</v>
      </c>
      <c r="G397" t="s">
        <v>487</v>
      </c>
      <c r="H397" t="s">
        <v>487</v>
      </c>
      <c r="I397" t="s">
        <v>487</v>
      </c>
    </row>
    <row r="398" spans="1:9" x14ac:dyDescent="0.3">
      <c r="A398">
        <v>430140534</v>
      </c>
      <c r="B398" t="s">
        <v>561</v>
      </c>
      <c r="C398" t="s">
        <v>561</v>
      </c>
      <c r="D398" t="s">
        <v>561</v>
      </c>
      <c r="E398" t="s">
        <v>561</v>
      </c>
      <c r="F398" t="s">
        <v>487</v>
      </c>
      <c r="G398" t="s">
        <v>487</v>
      </c>
      <c r="H398" t="s">
        <v>487</v>
      </c>
      <c r="I398" t="s">
        <v>487</v>
      </c>
    </row>
    <row r="399" spans="1:9" x14ac:dyDescent="0.3">
      <c r="A399">
        <v>430140633</v>
      </c>
      <c r="B399" t="s">
        <v>561</v>
      </c>
      <c r="C399" t="s">
        <v>561</v>
      </c>
      <c r="D399" t="s">
        <v>561</v>
      </c>
      <c r="E399" t="s">
        <v>561</v>
      </c>
      <c r="F399" t="s">
        <v>487</v>
      </c>
      <c r="G399" t="s">
        <v>487</v>
      </c>
      <c r="H399" t="s">
        <v>487</v>
      </c>
      <c r="I399" t="s">
        <v>487</v>
      </c>
    </row>
    <row r="400" spans="1:9" x14ac:dyDescent="0.3">
      <c r="A400">
        <v>430140634</v>
      </c>
      <c r="B400" t="s">
        <v>561</v>
      </c>
      <c r="C400" t="s">
        <v>561</v>
      </c>
      <c r="D400" t="s">
        <v>561</v>
      </c>
      <c r="E400" t="s">
        <v>561</v>
      </c>
      <c r="F400" t="s">
        <v>487</v>
      </c>
      <c r="G400" t="s">
        <v>487</v>
      </c>
      <c r="H400" t="s">
        <v>487</v>
      </c>
      <c r="I400" t="s">
        <v>487</v>
      </c>
    </row>
    <row r="401" spans="1:9" x14ac:dyDescent="0.3">
      <c r="A401">
        <v>430250135</v>
      </c>
      <c r="B401" t="s">
        <v>561</v>
      </c>
      <c r="C401" t="s">
        <v>561</v>
      </c>
      <c r="D401" t="s">
        <v>561</v>
      </c>
      <c r="E401" t="s">
        <v>561</v>
      </c>
      <c r="F401" t="s">
        <v>487</v>
      </c>
      <c r="G401" t="s">
        <v>487</v>
      </c>
      <c r="H401" t="s">
        <v>487</v>
      </c>
      <c r="I401" t="s">
        <v>487</v>
      </c>
    </row>
    <row r="402" spans="1:9" x14ac:dyDescent="0.3">
      <c r="A402">
        <v>430250935</v>
      </c>
      <c r="B402" t="s">
        <v>561</v>
      </c>
      <c r="C402" t="s">
        <v>561</v>
      </c>
      <c r="D402" t="s">
        <v>561</v>
      </c>
      <c r="E402" t="s">
        <v>561</v>
      </c>
      <c r="F402" t="s">
        <v>487</v>
      </c>
      <c r="G402" t="s">
        <v>487</v>
      </c>
      <c r="H402" t="s">
        <v>487</v>
      </c>
      <c r="I402" t="s">
        <v>487</v>
      </c>
    </row>
    <row r="403" spans="1:9" x14ac:dyDescent="0.3">
      <c r="A403">
        <v>430251135</v>
      </c>
      <c r="B403" t="s">
        <v>561</v>
      </c>
      <c r="C403" t="s">
        <v>561</v>
      </c>
      <c r="D403" t="s">
        <v>561</v>
      </c>
      <c r="E403" t="s">
        <v>561</v>
      </c>
      <c r="F403" t="s">
        <v>487</v>
      </c>
      <c r="G403" t="s">
        <v>487</v>
      </c>
      <c r="H403" t="s">
        <v>487</v>
      </c>
      <c r="I403" t="s">
        <v>487</v>
      </c>
    </row>
    <row r="404" spans="1:9" x14ac:dyDescent="0.3">
      <c r="A404">
        <v>430251235</v>
      </c>
      <c r="B404" t="s">
        <v>561</v>
      </c>
      <c r="C404" t="s">
        <v>561</v>
      </c>
      <c r="D404" t="s">
        <v>561</v>
      </c>
      <c r="E404" t="s">
        <v>561</v>
      </c>
      <c r="F404" t="s">
        <v>487</v>
      </c>
      <c r="G404" t="s">
        <v>487</v>
      </c>
      <c r="H404" t="s">
        <v>487</v>
      </c>
      <c r="I404" t="s">
        <v>487</v>
      </c>
    </row>
    <row r="405" spans="1:9" x14ac:dyDescent="0.3">
      <c r="A405">
        <v>430251735</v>
      </c>
      <c r="B405" t="s">
        <v>561</v>
      </c>
      <c r="C405" t="s">
        <v>561</v>
      </c>
      <c r="D405" t="s">
        <v>561</v>
      </c>
      <c r="E405" t="s">
        <v>561</v>
      </c>
      <c r="F405" t="s">
        <v>487</v>
      </c>
      <c r="G405" t="s">
        <v>487</v>
      </c>
      <c r="H405" t="s">
        <v>487</v>
      </c>
      <c r="I405" t="s">
        <v>487</v>
      </c>
    </row>
    <row r="406" spans="1:9" x14ac:dyDescent="0.3">
      <c r="A406">
        <v>430251835</v>
      </c>
      <c r="B406" t="s">
        <v>561</v>
      </c>
      <c r="C406" t="s">
        <v>561</v>
      </c>
      <c r="D406" t="s">
        <v>561</v>
      </c>
      <c r="E406" t="s">
        <v>561</v>
      </c>
      <c r="F406" t="s">
        <v>487</v>
      </c>
      <c r="G406" t="s">
        <v>487</v>
      </c>
      <c r="H406" t="s">
        <v>487</v>
      </c>
      <c r="I406" t="s">
        <v>487</v>
      </c>
    </row>
    <row r="407" spans="1:9" x14ac:dyDescent="0.3">
      <c r="A407">
        <v>430252857</v>
      </c>
      <c r="B407" t="s">
        <v>561</v>
      </c>
      <c r="C407" t="s">
        <v>561</v>
      </c>
      <c r="D407" t="s">
        <v>561</v>
      </c>
      <c r="E407" t="s">
        <v>561</v>
      </c>
      <c r="F407" t="s">
        <v>487</v>
      </c>
      <c r="G407" t="s">
        <v>487</v>
      </c>
      <c r="H407" t="s">
        <v>487</v>
      </c>
      <c r="I407" t="s">
        <v>487</v>
      </c>
    </row>
    <row r="408" spans="1:9" x14ac:dyDescent="0.3">
      <c r="A408">
        <v>430252957</v>
      </c>
      <c r="B408" t="s">
        <v>561</v>
      </c>
      <c r="C408" t="s">
        <v>561</v>
      </c>
      <c r="D408" t="s">
        <v>561</v>
      </c>
      <c r="E408" t="s">
        <v>561</v>
      </c>
      <c r="F408" t="s">
        <v>487</v>
      </c>
      <c r="G408" t="s">
        <v>487</v>
      </c>
      <c r="H408" t="s">
        <v>487</v>
      </c>
      <c r="I408" t="s">
        <v>487</v>
      </c>
    </row>
    <row r="409" spans="1:9" x14ac:dyDescent="0.3">
      <c r="A409">
        <v>430260057</v>
      </c>
      <c r="B409" t="s">
        <v>561</v>
      </c>
      <c r="C409" t="s">
        <v>561</v>
      </c>
      <c r="D409" t="s">
        <v>561</v>
      </c>
      <c r="E409" t="s">
        <v>561</v>
      </c>
      <c r="F409" t="s">
        <v>487</v>
      </c>
      <c r="G409" t="s">
        <v>487</v>
      </c>
      <c r="H409" t="s">
        <v>487</v>
      </c>
      <c r="I409" t="s">
        <v>487</v>
      </c>
    </row>
    <row r="410" spans="1:9" x14ac:dyDescent="0.3">
      <c r="A410">
        <v>430270138</v>
      </c>
      <c r="B410" t="s">
        <v>561</v>
      </c>
      <c r="C410" t="s">
        <v>561</v>
      </c>
      <c r="D410" t="s">
        <v>561</v>
      </c>
      <c r="E410" t="s">
        <v>561</v>
      </c>
      <c r="F410" t="s">
        <v>487</v>
      </c>
      <c r="G410" t="s">
        <v>487</v>
      </c>
      <c r="H410" t="s">
        <v>487</v>
      </c>
      <c r="I410" t="s">
        <v>487</v>
      </c>
    </row>
    <row r="411" spans="1:9" x14ac:dyDescent="0.3">
      <c r="A411">
        <v>430270240</v>
      </c>
      <c r="B411" t="s">
        <v>561</v>
      </c>
      <c r="C411" t="s">
        <v>561</v>
      </c>
      <c r="D411" t="s">
        <v>561</v>
      </c>
      <c r="E411" t="s">
        <v>561</v>
      </c>
      <c r="F411" t="s">
        <v>487</v>
      </c>
      <c r="G411" t="s">
        <v>487</v>
      </c>
      <c r="H411" t="s">
        <v>487</v>
      </c>
      <c r="I411" t="s">
        <v>487</v>
      </c>
    </row>
    <row r="412" spans="1:9" x14ac:dyDescent="0.3">
      <c r="A412">
        <v>430270338</v>
      </c>
      <c r="B412" t="s">
        <v>561</v>
      </c>
      <c r="C412" t="s">
        <v>561</v>
      </c>
      <c r="D412" t="s">
        <v>561</v>
      </c>
      <c r="E412" t="s">
        <v>561</v>
      </c>
      <c r="F412" t="s">
        <v>487</v>
      </c>
      <c r="G412" t="s">
        <v>487</v>
      </c>
      <c r="H412" t="s">
        <v>487</v>
      </c>
      <c r="I412" t="s">
        <v>487</v>
      </c>
    </row>
    <row r="413" spans="1:9" x14ac:dyDescent="0.3">
      <c r="A413">
        <v>430272038</v>
      </c>
      <c r="B413" t="s">
        <v>561</v>
      </c>
      <c r="C413" t="s">
        <v>561</v>
      </c>
      <c r="D413" t="s">
        <v>561</v>
      </c>
      <c r="E413" t="s">
        <v>561</v>
      </c>
      <c r="F413" t="s">
        <v>487</v>
      </c>
      <c r="G413" t="s">
        <v>487</v>
      </c>
      <c r="H413" t="s">
        <v>487</v>
      </c>
      <c r="I413" t="s">
        <v>487</v>
      </c>
    </row>
    <row r="414" spans="1:9" x14ac:dyDescent="0.3">
      <c r="A414">
        <v>430272138</v>
      </c>
      <c r="B414" t="s">
        <v>561</v>
      </c>
      <c r="C414" t="s">
        <v>561</v>
      </c>
      <c r="D414" t="s">
        <v>561</v>
      </c>
      <c r="E414" t="s">
        <v>561</v>
      </c>
      <c r="F414" t="s">
        <v>487</v>
      </c>
      <c r="G414" t="s">
        <v>487</v>
      </c>
      <c r="H414" t="s">
        <v>487</v>
      </c>
      <c r="I414" t="s">
        <v>487</v>
      </c>
    </row>
    <row r="415" spans="1:9" x14ac:dyDescent="0.3">
      <c r="A415">
        <v>430312003</v>
      </c>
      <c r="B415" t="s">
        <v>561</v>
      </c>
      <c r="C415" t="s">
        <v>561</v>
      </c>
      <c r="D415" t="s">
        <v>561</v>
      </c>
      <c r="E415" t="s">
        <v>561</v>
      </c>
      <c r="F415" t="s">
        <v>487</v>
      </c>
      <c r="G415" t="s">
        <v>487</v>
      </c>
      <c r="H415" t="s">
        <v>487</v>
      </c>
      <c r="I415" t="s">
        <v>487</v>
      </c>
    </row>
    <row r="416" spans="1:9" x14ac:dyDescent="0.3">
      <c r="A416">
        <v>430312064</v>
      </c>
      <c r="B416" t="s">
        <v>561</v>
      </c>
      <c r="C416" t="s">
        <v>561</v>
      </c>
      <c r="D416" t="s">
        <v>561</v>
      </c>
      <c r="E416" t="s">
        <v>561</v>
      </c>
      <c r="F416" t="s">
        <v>487</v>
      </c>
      <c r="G416" t="s">
        <v>487</v>
      </c>
      <c r="H416" t="s">
        <v>487</v>
      </c>
      <c r="I416" t="s">
        <v>487</v>
      </c>
    </row>
    <row r="417" spans="1:9" x14ac:dyDescent="0.3">
      <c r="A417">
        <v>430312103</v>
      </c>
      <c r="B417" t="s">
        <v>561</v>
      </c>
      <c r="C417" t="s">
        <v>561</v>
      </c>
      <c r="D417" t="s">
        <v>561</v>
      </c>
      <c r="E417" t="s">
        <v>561</v>
      </c>
      <c r="F417" t="s">
        <v>487</v>
      </c>
      <c r="G417" t="s">
        <v>487</v>
      </c>
      <c r="H417" t="s">
        <v>487</v>
      </c>
      <c r="I417" t="s">
        <v>487</v>
      </c>
    </row>
    <row r="418" spans="1:9" x14ac:dyDescent="0.3">
      <c r="A418">
        <v>430312164</v>
      </c>
      <c r="B418" t="s">
        <v>561</v>
      </c>
      <c r="C418" t="s">
        <v>561</v>
      </c>
      <c r="D418" t="s">
        <v>561</v>
      </c>
      <c r="E418" t="s">
        <v>561</v>
      </c>
      <c r="F418" t="s">
        <v>487</v>
      </c>
      <c r="G418" t="s">
        <v>487</v>
      </c>
      <c r="H418" t="s">
        <v>487</v>
      </c>
      <c r="I418" t="s">
        <v>487</v>
      </c>
    </row>
    <row r="419" spans="1:9" x14ac:dyDescent="0.3">
      <c r="A419">
        <v>430313403</v>
      </c>
      <c r="B419" t="s">
        <v>561</v>
      </c>
      <c r="C419" t="s">
        <v>561</v>
      </c>
      <c r="D419" t="s">
        <v>561</v>
      </c>
      <c r="E419" t="s">
        <v>561</v>
      </c>
      <c r="F419" t="s">
        <v>487</v>
      </c>
      <c r="G419" t="s">
        <v>487</v>
      </c>
      <c r="H419" t="s">
        <v>487</v>
      </c>
      <c r="I419" t="s">
        <v>487</v>
      </c>
    </row>
    <row r="420" spans="1:9" x14ac:dyDescent="0.3">
      <c r="A420">
        <v>430313462</v>
      </c>
      <c r="B420" t="s">
        <v>561</v>
      </c>
      <c r="C420" t="s">
        <v>561</v>
      </c>
      <c r="D420" t="s">
        <v>561</v>
      </c>
      <c r="E420" t="s">
        <v>561</v>
      </c>
      <c r="F420" t="s">
        <v>487</v>
      </c>
      <c r="G420" t="s">
        <v>487</v>
      </c>
      <c r="H420" t="s">
        <v>487</v>
      </c>
      <c r="I420" t="s">
        <v>487</v>
      </c>
    </row>
    <row r="421" spans="1:9" x14ac:dyDescent="0.3">
      <c r="A421">
        <v>430313464</v>
      </c>
      <c r="B421" t="s">
        <v>561</v>
      </c>
      <c r="C421" t="s">
        <v>561</v>
      </c>
      <c r="D421" t="s">
        <v>561</v>
      </c>
      <c r="E421" t="s">
        <v>561</v>
      </c>
      <c r="F421" t="s">
        <v>487</v>
      </c>
      <c r="G421" t="s">
        <v>487</v>
      </c>
      <c r="H421" t="s">
        <v>487</v>
      </c>
      <c r="I421" t="s">
        <v>487</v>
      </c>
    </row>
    <row r="422" spans="1:9" x14ac:dyDescent="0.3">
      <c r="A422">
        <v>430313481</v>
      </c>
      <c r="B422" t="s">
        <v>561</v>
      </c>
      <c r="C422" t="s">
        <v>561</v>
      </c>
      <c r="D422" t="s">
        <v>561</v>
      </c>
      <c r="E422" t="s">
        <v>561</v>
      </c>
      <c r="F422" t="s">
        <v>487</v>
      </c>
      <c r="G422" t="s">
        <v>487</v>
      </c>
      <c r="H422" t="s">
        <v>487</v>
      </c>
      <c r="I422" t="s">
        <v>487</v>
      </c>
    </row>
    <row r="423" spans="1:9" x14ac:dyDescent="0.3">
      <c r="A423">
        <v>430313499</v>
      </c>
      <c r="B423" t="s">
        <v>561</v>
      </c>
      <c r="C423" t="s">
        <v>561</v>
      </c>
      <c r="D423" t="s">
        <v>561</v>
      </c>
      <c r="E423" t="s">
        <v>561</v>
      </c>
      <c r="F423" t="s">
        <v>487</v>
      </c>
      <c r="G423" t="s">
        <v>487</v>
      </c>
      <c r="H423" t="s">
        <v>487</v>
      </c>
      <c r="I423" t="s">
        <v>487</v>
      </c>
    </row>
    <row r="424" spans="1:9" x14ac:dyDescent="0.3">
      <c r="A424">
        <v>430313503</v>
      </c>
      <c r="B424" t="s">
        <v>561</v>
      </c>
      <c r="C424" t="s">
        <v>561</v>
      </c>
      <c r="D424" t="s">
        <v>561</v>
      </c>
      <c r="E424" t="s">
        <v>561</v>
      </c>
      <c r="F424" t="s">
        <v>487</v>
      </c>
      <c r="G424" t="s">
        <v>487</v>
      </c>
      <c r="H424" t="s">
        <v>487</v>
      </c>
      <c r="I424" t="s">
        <v>487</v>
      </c>
    </row>
    <row r="425" spans="1:9" x14ac:dyDescent="0.3">
      <c r="A425">
        <v>430313562</v>
      </c>
      <c r="B425" t="s">
        <v>561</v>
      </c>
      <c r="C425" t="s">
        <v>561</v>
      </c>
      <c r="D425" t="s">
        <v>561</v>
      </c>
      <c r="E425" t="s">
        <v>561</v>
      </c>
      <c r="F425" t="s">
        <v>487</v>
      </c>
      <c r="G425" t="s">
        <v>487</v>
      </c>
      <c r="H425" t="s">
        <v>487</v>
      </c>
      <c r="I425" t="s">
        <v>487</v>
      </c>
    </row>
    <row r="426" spans="1:9" x14ac:dyDescent="0.3">
      <c r="A426">
        <v>430313564</v>
      </c>
      <c r="B426" t="s">
        <v>561</v>
      </c>
      <c r="C426" t="s">
        <v>561</v>
      </c>
      <c r="D426" t="s">
        <v>561</v>
      </c>
      <c r="E426" t="s">
        <v>561</v>
      </c>
      <c r="F426" t="s">
        <v>487</v>
      </c>
      <c r="G426" t="s">
        <v>487</v>
      </c>
      <c r="H426" t="s">
        <v>487</v>
      </c>
      <c r="I426" t="s">
        <v>487</v>
      </c>
    </row>
    <row r="427" spans="1:9" x14ac:dyDescent="0.3">
      <c r="A427">
        <v>430313581</v>
      </c>
      <c r="B427" t="s">
        <v>561</v>
      </c>
      <c r="C427" t="s">
        <v>561</v>
      </c>
      <c r="D427" t="s">
        <v>561</v>
      </c>
      <c r="E427" t="s">
        <v>561</v>
      </c>
      <c r="F427" t="s">
        <v>487</v>
      </c>
      <c r="G427" t="s">
        <v>487</v>
      </c>
      <c r="H427" t="s">
        <v>487</v>
      </c>
      <c r="I427" t="s">
        <v>487</v>
      </c>
    </row>
    <row r="428" spans="1:9" x14ac:dyDescent="0.3">
      <c r="A428">
        <v>430313599</v>
      </c>
      <c r="B428" t="s">
        <v>561</v>
      </c>
      <c r="C428" t="s">
        <v>561</v>
      </c>
      <c r="D428" t="s">
        <v>561</v>
      </c>
      <c r="E428" t="s">
        <v>561</v>
      </c>
      <c r="F428" t="s">
        <v>487</v>
      </c>
      <c r="G428" t="s">
        <v>487</v>
      </c>
      <c r="H428" t="s">
        <v>487</v>
      </c>
      <c r="I428" t="s">
        <v>487</v>
      </c>
    </row>
    <row r="429" spans="1:9" x14ac:dyDescent="0.3">
      <c r="A429">
        <v>430313603</v>
      </c>
      <c r="B429" t="s">
        <v>561</v>
      </c>
      <c r="C429" t="s">
        <v>561</v>
      </c>
      <c r="D429" t="s">
        <v>561</v>
      </c>
      <c r="E429" t="s">
        <v>561</v>
      </c>
      <c r="F429" t="s">
        <v>487</v>
      </c>
      <c r="G429" t="s">
        <v>487</v>
      </c>
      <c r="H429" t="s">
        <v>487</v>
      </c>
      <c r="I429" t="s">
        <v>487</v>
      </c>
    </row>
    <row r="430" spans="1:9" x14ac:dyDescent="0.3">
      <c r="A430">
        <v>430313662</v>
      </c>
      <c r="B430" t="s">
        <v>561</v>
      </c>
      <c r="C430" t="s">
        <v>561</v>
      </c>
      <c r="D430" t="s">
        <v>561</v>
      </c>
      <c r="E430" t="s">
        <v>561</v>
      </c>
      <c r="F430" t="s">
        <v>487</v>
      </c>
      <c r="G430" t="s">
        <v>487</v>
      </c>
      <c r="H430" t="s">
        <v>487</v>
      </c>
      <c r="I430" t="s">
        <v>487</v>
      </c>
    </row>
    <row r="431" spans="1:9" x14ac:dyDescent="0.3">
      <c r="A431">
        <v>430313664</v>
      </c>
      <c r="B431" t="s">
        <v>561</v>
      </c>
      <c r="C431" t="s">
        <v>561</v>
      </c>
      <c r="D431" t="s">
        <v>561</v>
      </c>
      <c r="E431" t="s">
        <v>561</v>
      </c>
      <c r="F431" t="s">
        <v>487</v>
      </c>
      <c r="G431" t="s">
        <v>487</v>
      </c>
      <c r="H431" t="s">
        <v>487</v>
      </c>
      <c r="I431" t="s">
        <v>487</v>
      </c>
    </row>
    <row r="432" spans="1:9" x14ac:dyDescent="0.3">
      <c r="A432">
        <v>430313681</v>
      </c>
      <c r="B432" t="s">
        <v>561</v>
      </c>
      <c r="C432" t="s">
        <v>561</v>
      </c>
      <c r="D432" t="s">
        <v>561</v>
      </c>
      <c r="E432" t="s">
        <v>561</v>
      </c>
      <c r="F432" t="s">
        <v>487</v>
      </c>
      <c r="G432" t="s">
        <v>487</v>
      </c>
      <c r="H432" t="s">
        <v>487</v>
      </c>
      <c r="I432" t="s">
        <v>487</v>
      </c>
    </row>
    <row r="433" spans="1:9" x14ac:dyDescent="0.3">
      <c r="A433">
        <v>430313699</v>
      </c>
      <c r="B433" t="s">
        <v>561</v>
      </c>
      <c r="C433" t="s">
        <v>561</v>
      </c>
      <c r="D433" t="s">
        <v>561</v>
      </c>
      <c r="E433" t="s">
        <v>561</v>
      </c>
      <c r="F433" t="s">
        <v>487</v>
      </c>
      <c r="G433" t="s">
        <v>487</v>
      </c>
      <c r="H433" t="s">
        <v>487</v>
      </c>
      <c r="I433" t="s">
        <v>487</v>
      </c>
    </row>
    <row r="434" spans="1:9" x14ac:dyDescent="0.3">
      <c r="A434">
        <v>430316503</v>
      </c>
      <c r="B434" t="s">
        <v>561</v>
      </c>
      <c r="C434" t="s">
        <v>561</v>
      </c>
      <c r="D434" t="s">
        <v>561</v>
      </c>
      <c r="E434" t="s">
        <v>561</v>
      </c>
      <c r="F434" t="s">
        <v>487</v>
      </c>
      <c r="G434" t="s">
        <v>487</v>
      </c>
      <c r="H434" t="s">
        <v>487</v>
      </c>
      <c r="I434" t="s">
        <v>487</v>
      </c>
    </row>
    <row r="435" spans="1:9" x14ac:dyDescent="0.3">
      <c r="A435">
        <v>430316564</v>
      </c>
      <c r="B435" t="s">
        <v>561</v>
      </c>
      <c r="C435" t="s">
        <v>561</v>
      </c>
      <c r="D435" t="s">
        <v>561</v>
      </c>
      <c r="E435" t="s">
        <v>561</v>
      </c>
      <c r="F435" t="s">
        <v>487</v>
      </c>
      <c r="G435" t="s">
        <v>487</v>
      </c>
      <c r="H435" t="s">
        <v>487</v>
      </c>
      <c r="I435" t="s">
        <v>487</v>
      </c>
    </row>
    <row r="436" spans="1:9" x14ac:dyDescent="0.3">
      <c r="A436">
        <v>430316599</v>
      </c>
      <c r="B436" t="s">
        <v>561</v>
      </c>
      <c r="C436" t="s">
        <v>561</v>
      </c>
      <c r="D436" t="s">
        <v>561</v>
      </c>
      <c r="E436" t="s">
        <v>561</v>
      </c>
      <c r="F436" t="s">
        <v>487</v>
      </c>
      <c r="G436" t="s">
        <v>487</v>
      </c>
      <c r="H436" t="s">
        <v>487</v>
      </c>
      <c r="I436" t="s">
        <v>487</v>
      </c>
    </row>
    <row r="437" spans="1:9" x14ac:dyDescent="0.3">
      <c r="A437">
        <v>430316603</v>
      </c>
      <c r="B437" t="s">
        <v>561</v>
      </c>
      <c r="C437" t="s">
        <v>561</v>
      </c>
      <c r="D437" t="s">
        <v>561</v>
      </c>
      <c r="E437" t="s">
        <v>561</v>
      </c>
      <c r="F437" t="s">
        <v>487</v>
      </c>
      <c r="G437" t="s">
        <v>487</v>
      </c>
      <c r="H437" t="s">
        <v>487</v>
      </c>
      <c r="I437" t="s">
        <v>487</v>
      </c>
    </row>
    <row r="438" spans="1:9" x14ac:dyDescent="0.3">
      <c r="A438">
        <v>430316664</v>
      </c>
      <c r="B438" t="s">
        <v>561</v>
      </c>
      <c r="C438" t="s">
        <v>561</v>
      </c>
      <c r="D438" t="s">
        <v>561</v>
      </c>
      <c r="E438" t="s">
        <v>561</v>
      </c>
      <c r="F438" t="s">
        <v>487</v>
      </c>
      <c r="G438" t="s">
        <v>487</v>
      </c>
      <c r="H438" t="s">
        <v>487</v>
      </c>
      <c r="I438" t="s">
        <v>487</v>
      </c>
    </row>
    <row r="439" spans="1:9" x14ac:dyDescent="0.3">
      <c r="A439">
        <v>430316903</v>
      </c>
      <c r="B439" t="s">
        <v>561</v>
      </c>
      <c r="C439" t="s">
        <v>561</v>
      </c>
      <c r="D439" t="s">
        <v>561</v>
      </c>
      <c r="E439" t="s">
        <v>561</v>
      </c>
      <c r="F439" t="s">
        <v>487</v>
      </c>
      <c r="G439" t="s">
        <v>487</v>
      </c>
      <c r="H439" t="s">
        <v>487</v>
      </c>
      <c r="I439" t="s">
        <v>487</v>
      </c>
    </row>
    <row r="440" spans="1:9" x14ac:dyDescent="0.3">
      <c r="A440">
        <v>430316964</v>
      </c>
      <c r="B440" t="s">
        <v>561</v>
      </c>
      <c r="C440" t="s">
        <v>561</v>
      </c>
      <c r="D440" t="s">
        <v>561</v>
      </c>
      <c r="E440" t="s">
        <v>561</v>
      </c>
      <c r="F440" t="s">
        <v>487</v>
      </c>
      <c r="G440" t="s">
        <v>487</v>
      </c>
      <c r="H440" t="s">
        <v>487</v>
      </c>
      <c r="I440" t="s">
        <v>487</v>
      </c>
    </row>
    <row r="441" spans="1:9" x14ac:dyDescent="0.3">
      <c r="A441">
        <v>430316999</v>
      </c>
      <c r="B441" t="s">
        <v>561</v>
      </c>
      <c r="C441" t="s">
        <v>561</v>
      </c>
      <c r="D441" t="s">
        <v>561</v>
      </c>
      <c r="E441" t="s">
        <v>561</v>
      </c>
      <c r="F441" t="s">
        <v>487</v>
      </c>
      <c r="G441" t="s">
        <v>487</v>
      </c>
      <c r="H441" t="s">
        <v>487</v>
      </c>
      <c r="I441" t="s">
        <v>487</v>
      </c>
    </row>
    <row r="442" spans="1:9" x14ac:dyDescent="0.3">
      <c r="A442">
        <v>430321690</v>
      </c>
      <c r="B442" t="s">
        <v>561</v>
      </c>
      <c r="C442" t="s">
        <v>561</v>
      </c>
      <c r="D442" t="s">
        <v>561</v>
      </c>
      <c r="E442" t="s">
        <v>561</v>
      </c>
      <c r="F442" t="s">
        <v>487</v>
      </c>
      <c r="G442" t="s">
        <v>487</v>
      </c>
      <c r="H442" t="s">
        <v>487</v>
      </c>
      <c r="I442" t="s">
        <v>487</v>
      </c>
    </row>
    <row r="443" spans="1:9" x14ac:dyDescent="0.3">
      <c r="A443">
        <v>430340057</v>
      </c>
      <c r="B443" t="s">
        <v>561</v>
      </c>
      <c r="C443" t="s">
        <v>561</v>
      </c>
      <c r="D443" t="s">
        <v>561</v>
      </c>
      <c r="E443" t="s">
        <v>561</v>
      </c>
      <c r="F443" t="s">
        <v>487</v>
      </c>
      <c r="G443" t="s">
        <v>487</v>
      </c>
      <c r="H443" t="s">
        <v>487</v>
      </c>
      <c r="I443" t="s">
        <v>487</v>
      </c>
    </row>
    <row r="444" spans="1:9" x14ac:dyDescent="0.3">
      <c r="A444">
        <v>430342157</v>
      </c>
      <c r="B444" t="s">
        <v>561</v>
      </c>
      <c r="C444" t="s">
        <v>561</v>
      </c>
      <c r="D444" t="s">
        <v>561</v>
      </c>
      <c r="E444" t="s">
        <v>561</v>
      </c>
      <c r="F444" t="s">
        <v>487</v>
      </c>
      <c r="G444" t="s">
        <v>487</v>
      </c>
      <c r="H444" t="s">
        <v>487</v>
      </c>
      <c r="I444" t="s">
        <v>487</v>
      </c>
    </row>
    <row r="445" spans="1:9" x14ac:dyDescent="0.3">
      <c r="A445">
        <v>430360287</v>
      </c>
      <c r="B445" t="s">
        <v>561</v>
      </c>
      <c r="C445" t="s">
        <v>561</v>
      </c>
      <c r="D445" t="s">
        <v>561</v>
      </c>
      <c r="E445" t="s">
        <v>561</v>
      </c>
      <c r="F445" t="s">
        <v>487</v>
      </c>
      <c r="G445" t="s">
        <v>487</v>
      </c>
      <c r="H445" t="s">
        <v>487</v>
      </c>
      <c r="I445" t="s">
        <v>487</v>
      </c>
    </row>
    <row r="446" spans="1:9" x14ac:dyDescent="0.3">
      <c r="A446">
        <v>430360387</v>
      </c>
      <c r="B446" t="s">
        <v>561</v>
      </c>
      <c r="C446" t="s">
        <v>561</v>
      </c>
      <c r="D446" t="s">
        <v>561</v>
      </c>
      <c r="E446" t="s">
        <v>561</v>
      </c>
      <c r="F446" t="s">
        <v>487</v>
      </c>
      <c r="G446" t="s">
        <v>487</v>
      </c>
      <c r="H446" t="s">
        <v>487</v>
      </c>
      <c r="I446" t="s">
        <v>487</v>
      </c>
    </row>
    <row r="447" spans="1:9" x14ac:dyDescent="0.3">
      <c r="A447">
        <v>430361087</v>
      </c>
      <c r="B447" t="s">
        <v>561</v>
      </c>
      <c r="C447" t="s">
        <v>561</v>
      </c>
      <c r="D447" t="s">
        <v>561</v>
      </c>
      <c r="E447" t="s">
        <v>561</v>
      </c>
      <c r="F447" t="s">
        <v>487</v>
      </c>
      <c r="G447" t="s">
        <v>487</v>
      </c>
      <c r="H447" t="s">
        <v>487</v>
      </c>
      <c r="I447" t="s">
        <v>487</v>
      </c>
    </row>
    <row r="448" spans="1:9" x14ac:dyDescent="0.3">
      <c r="A448">
        <v>430362187</v>
      </c>
      <c r="B448" t="s">
        <v>561</v>
      </c>
      <c r="C448" t="s">
        <v>561</v>
      </c>
      <c r="D448" t="s">
        <v>561</v>
      </c>
      <c r="E448" t="s">
        <v>561</v>
      </c>
      <c r="F448" t="s">
        <v>487</v>
      </c>
      <c r="G448" t="s">
        <v>487</v>
      </c>
      <c r="H448" t="s">
        <v>487</v>
      </c>
      <c r="I448" t="s">
        <v>487</v>
      </c>
    </row>
    <row r="449" spans="1:9" x14ac:dyDescent="0.3">
      <c r="A449">
        <v>430425715</v>
      </c>
      <c r="B449" t="s">
        <v>561</v>
      </c>
      <c r="C449" t="s">
        <v>561</v>
      </c>
      <c r="D449" t="s">
        <v>561</v>
      </c>
      <c r="E449" t="s">
        <v>561</v>
      </c>
      <c r="F449" t="s">
        <v>487</v>
      </c>
      <c r="G449" t="s">
        <v>487</v>
      </c>
      <c r="H449" t="s">
        <v>487</v>
      </c>
      <c r="I449" t="s">
        <v>487</v>
      </c>
    </row>
    <row r="450" spans="1:9" x14ac:dyDescent="0.3">
      <c r="A450">
        <v>430425815</v>
      </c>
      <c r="B450" t="s">
        <v>561</v>
      </c>
      <c r="C450" t="s">
        <v>561</v>
      </c>
      <c r="D450" t="s">
        <v>561</v>
      </c>
      <c r="E450" t="s">
        <v>561</v>
      </c>
      <c r="F450" t="s">
        <v>487</v>
      </c>
      <c r="G450" t="s">
        <v>487</v>
      </c>
      <c r="H450" t="s">
        <v>487</v>
      </c>
      <c r="I450" t="s">
        <v>487</v>
      </c>
    </row>
    <row r="451" spans="1:9" x14ac:dyDescent="0.3">
      <c r="A451">
        <v>430426015</v>
      </c>
      <c r="B451" t="s">
        <v>561</v>
      </c>
      <c r="C451" t="s">
        <v>561</v>
      </c>
      <c r="D451" t="s">
        <v>561</v>
      </c>
      <c r="E451" t="s">
        <v>561</v>
      </c>
      <c r="F451" t="s">
        <v>487</v>
      </c>
      <c r="G451" t="s">
        <v>487</v>
      </c>
      <c r="H451" t="s">
        <v>487</v>
      </c>
      <c r="I451" t="s">
        <v>487</v>
      </c>
    </row>
    <row r="452" spans="1:9" x14ac:dyDescent="0.3">
      <c r="A452">
        <v>430430225</v>
      </c>
      <c r="B452" t="s">
        <v>561</v>
      </c>
      <c r="C452" t="s">
        <v>561</v>
      </c>
      <c r="D452" t="s">
        <v>561</v>
      </c>
      <c r="E452" t="s">
        <v>561</v>
      </c>
      <c r="F452" t="s">
        <v>487</v>
      </c>
      <c r="G452" t="s">
        <v>487</v>
      </c>
      <c r="H452" t="s">
        <v>487</v>
      </c>
      <c r="I452" t="s">
        <v>487</v>
      </c>
    </row>
    <row r="453" spans="1:9" x14ac:dyDescent="0.3">
      <c r="A453">
        <v>430436125</v>
      </c>
      <c r="B453" t="s">
        <v>561</v>
      </c>
      <c r="C453" t="s">
        <v>561</v>
      </c>
      <c r="D453" t="s">
        <v>561</v>
      </c>
      <c r="E453" t="s">
        <v>561</v>
      </c>
      <c r="F453" t="s">
        <v>487</v>
      </c>
      <c r="G453" t="s">
        <v>487</v>
      </c>
      <c r="H453" t="s">
        <v>487</v>
      </c>
      <c r="I453" t="s">
        <v>487</v>
      </c>
    </row>
    <row r="454" spans="1:9" x14ac:dyDescent="0.3">
      <c r="A454">
        <v>440014791</v>
      </c>
      <c r="B454" t="s">
        <v>476</v>
      </c>
      <c r="C454" t="s">
        <v>481</v>
      </c>
      <c r="E454" t="s">
        <v>562</v>
      </c>
      <c r="F454" t="s">
        <v>487</v>
      </c>
      <c r="G454" t="s">
        <v>487</v>
      </c>
      <c r="H454" t="s">
        <v>487</v>
      </c>
      <c r="I454" t="s">
        <v>487</v>
      </c>
    </row>
    <row r="455" spans="1:9" x14ac:dyDescent="0.3">
      <c r="A455">
        <v>440014792</v>
      </c>
      <c r="B455" t="s">
        <v>476</v>
      </c>
      <c r="C455" t="s">
        <v>481</v>
      </c>
      <c r="E455" t="s">
        <v>562</v>
      </c>
      <c r="F455" t="s">
        <v>487</v>
      </c>
      <c r="G455" t="s">
        <v>487</v>
      </c>
      <c r="H455" t="s">
        <v>487</v>
      </c>
      <c r="I455" t="s">
        <v>487</v>
      </c>
    </row>
    <row r="456" spans="1:9" x14ac:dyDescent="0.3">
      <c r="A456">
        <v>440015592</v>
      </c>
      <c r="B456" t="s">
        <v>476</v>
      </c>
      <c r="C456" t="s">
        <v>483</v>
      </c>
      <c r="E456" t="s">
        <v>562</v>
      </c>
      <c r="F456" t="s">
        <v>487</v>
      </c>
      <c r="G456" t="s">
        <v>487</v>
      </c>
      <c r="H456" t="s">
        <v>487</v>
      </c>
      <c r="I456" t="s">
        <v>487</v>
      </c>
    </row>
    <row r="457" spans="1:9" x14ac:dyDescent="0.3">
      <c r="A457">
        <v>440025615</v>
      </c>
      <c r="B457" t="s">
        <v>476</v>
      </c>
      <c r="C457" t="s">
        <v>477</v>
      </c>
      <c r="E457" t="s">
        <v>562</v>
      </c>
      <c r="F457" t="s">
        <v>487</v>
      </c>
      <c r="G457" t="s">
        <v>487</v>
      </c>
      <c r="H457" t="s">
        <v>487</v>
      </c>
      <c r="I457" t="s">
        <v>487</v>
      </c>
    </row>
    <row r="458" spans="1:9" x14ac:dyDescent="0.3">
      <c r="A458">
        <v>440026208</v>
      </c>
      <c r="B458" t="s">
        <v>476</v>
      </c>
      <c r="C458" t="s">
        <v>483</v>
      </c>
      <c r="E458" t="s">
        <v>562</v>
      </c>
      <c r="F458" t="s">
        <v>487</v>
      </c>
      <c r="G458" t="s">
        <v>487</v>
      </c>
      <c r="H458" t="s">
        <v>487</v>
      </c>
      <c r="I458" t="s">
        <v>487</v>
      </c>
    </row>
    <row r="459" spans="1:9" x14ac:dyDescent="0.3">
      <c r="A459">
        <v>440026410</v>
      </c>
      <c r="B459" t="s">
        <v>476</v>
      </c>
      <c r="C459" t="s">
        <v>481</v>
      </c>
      <c r="E459" t="s">
        <v>562</v>
      </c>
      <c r="F459" t="s">
        <v>487</v>
      </c>
      <c r="G459" t="s">
        <v>487</v>
      </c>
      <c r="H459" t="s">
        <v>487</v>
      </c>
      <c r="I459" t="s">
        <v>487</v>
      </c>
    </row>
    <row r="460" spans="1:9" x14ac:dyDescent="0.3">
      <c r="A460">
        <v>440026415</v>
      </c>
      <c r="B460" t="s">
        <v>476</v>
      </c>
      <c r="C460" t="s">
        <v>481</v>
      </c>
      <c r="E460" t="s">
        <v>562</v>
      </c>
      <c r="F460" t="s">
        <v>487</v>
      </c>
      <c r="G460" t="s">
        <v>487</v>
      </c>
      <c r="H460" t="s">
        <v>487</v>
      </c>
      <c r="I460" t="s">
        <v>487</v>
      </c>
    </row>
    <row r="461" spans="1:9" x14ac:dyDescent="0.3">
      <c r="A461">
        <v>440040157</v>
      </c>
      <c r="B461" t="s">
        <v>492</v>
      </c>
      <c r="C461" t="s">
        <v>493</v>
      </c>
      <c r="E461" t="s">
        <v>562</v>
      </c>
      <c r="F461" t="s">
        <v>487</v>
      </c>
      <c r="G461" t="s">
        <v>487</v>
      </c>
      <c r="H461" t="s">
        <v>487</v>
      </c>
      <c r="I461" t="s">
        <v>487</v>
      </c>
    </row>
    <row r="462" spans="1:9" x14ac:dyDescent="0.3">
      <c r="A462">
        <v>440040257</v>
      </c>
      <c r="B462" t="s">
        <v>492</v>
      </c>
      <c r="C462" t="s">
        <v>493</v>
      </c>
      <c r="E462" t="s">
        <v>562</v>
      </c>
      <c r="F462" t="s">
        <v>487</v>
      </c>
      <c r="G462" t="s">
        <v>487</v>
      </c>
      <c r="H462" t="s">
        <v>487</v>
      </c>
      <c r="I462" t="s">
        <v>487</v>
      </c>
    </row>
    <row r="463" spans="1:9" x14ac:dyDescent="0.3">
      <c r="A463">
        <v>440040357</v>
      </c>
      <c r="B463" t="s">
        <v>492</v>
      </c>
      <c r="C463" t="s">
        <v>493</v>
      </c>
      <c r="E463" t="s">
        <v>562</v>
      </c>
      <c r="F463" t="s">
        <v>487</v>
      </c>
      <c r="G463" t="s">
        <v>487</v>
      </c>
      <c r="H463" t="s">
        <v>487</v>
      </c>
      <c r="I463" t="s">
        <v>487</v>
      </c>
    </row>
    <row r="464" spans="1:9" x14ac:dyDescent="0.3">
      <c r="A464">
        <v>440040457</v>
      </c>
      <c r="B464" t="s">
        <v>492</v>
      </c>
      <c r="C464" t="s">
        <v>493</v>
      </c>
      <c r="E464" t="s">
        <v>562</v>
      </c>
      <c r="F464" t="s">
        <v>487</v>
      </c>
      <c r="G464" t="s">
        <v>487</v>
      </c>
      <c r="H464" t="s">
        <v>487</v>
      </c>
      <c r="I464" t="s">
        <v>487</v>
      </c>
    </row>
    <row r="465" spans="1:9" x14ac:dyDescent="0.3">
      <c r="A465">
        <v>440040557</v>
      </c>
      <c r="B465" t="s">
        <v>492</v>
      </c>
      <c r="C465" t="s">
        <v>493</v>
      </c>
      <c r="E465" t="s">
        <v>562</v>
      </c>
      <c r="F465" t="s">
        <v>487</v>
      </c>
      <c r="G465" t="s">
        <v>487</v>
      </c>
      <c r="H465" t="s">
        <v>487</v>
      </c>
      <c r="I465" t="s">
        <v>487</v>
      </c>
    </row>
    <row r="466" spans="1:9" x14ac:dyDescent="0.3">
      <c r="A466">
        <v>440040657</v>
      </c>
      <c r="B466" t="s">
        <v>492</v>
      </c>
      <c r="C466" t="s">
        <v>493</v>
      </c>
      <c r="E466" t="s">
        <v>562</v>
      </c>
      <c r="F466" t="s">
        <v>487</v>
      </c>
      <c r="G466" t="s">
        <v>487</v>
      </c>
      <c r="H466" t="s">
        <v>487</v>
      </c>
      <c r="I466" t="s">
        <v>487</v>
      </c>
    </row>
    <row r="467" spans="1:9" x14ac:dyDescent="0.3">
      <c r="A467">
        <v>440041457</v>
      </c>
      <c r="B467" t="s">
        <v>492</v>
      </c>
      <c r="C467" t="s">
        <v>493</v>
      </c>
      <c r="E467" t="s">
        <v>562</v>
      </c>
      <c r="F467" t="s">
        <v>487</v>
      </c>
      <c r="G467" t="s">
        <v>487</v>
      </c>
      <c r="H467" t="s">
        <v>487</v>
      </c>
      <c r="I467" t="s">
        <v>487</v>
      </c>
    </row>
    <row r="468" spans="1:9" x14ac:dyDescent="0.3">
      <c r="A468">
        <v>440041557</v>
      </c>
      <c r="B468" t="s">
        <v>492</v>
      </c>
      <c r="C468" t="s">
        <v>493</v>
      </c>
      <c r="E468" t="s">
        <v>562</v>
      </c>
      <c r="F468" t="s">
        <v>487</v>
      </c>
      <c r="G468" t="s">
        <v>487</v>
      </c>
      <c r="H468" t="s">
        <v>487</v>
      </c>
      <c r="I468" t="s">
        <v>487</v>
      </c>
    </row>
    <row r="469" spans="1:9" x14ac:dyDescent="0.3">
      <c r="A469">
        <v>440042957</v>
      </c>
      <c r="B469" t="s">
        <v>492</v>
      </c>
      <c r="C469" t="s">
        <v>493</v>
      </c>
      <c r="E469" t="s">
        <v>562</v>
      </c>
      <c r="F469" t="s">
        <v>487</v>
      </c>
      <c r="G469" t="s">
        <v>487</v>
      </c>
      <c r="H469" t="s">
        <v>487</v>
      </c>
      <c r="I469" t="s">
        <v>487</v>
      </c>
    </row>
    <row r="470" spans="1:9" x14ac:dyDescent="0.3">
      <c r="A470">
        <v>440043157</v>
      </c>
      <c r="B470" t="s">
        <v>492</v>
      </c>
      <c r="C470" t="s">
        <v>493</v>
      </c>
      <c r="E470" t="s">
        <v>562</v>
      </c>
      <c r="F470" t="s">
        <v>487</v>
      </c>
      <c r="G470" t="s">
        <v>487</v>
      </c>
      <c r="H470" t="s">
        <v>487</v>
      </c>
      <c r="I470" t="s">
        <v>487</v>
      </c>
    </row>
    <row r="471" spans="1:9" x14ac:dyDescent="0.3">
      <c r="A471">
        <v>440075564</v>
      </c>
      <c r="B471" t="s">
        <v>492</v>
      </c>
      <c r="C471" t="s">
        <v>496</v>
      </c>
      <c r="E471" t="s">
        <v>562</v>
      </c>
      <c r="F471" t="s">
        <v>487</v>
      </c>
      <c r="G471" t="s">
        <v>487</v>
      </c>
      <c r="H471" t="s">
        <v>487</v>
      </c>
      <c r="I471" t="s">
        <v>487</v>
      </c>
    </row>
    <row r="472" spans="1:9" x14ac:dyDescent="0.3">
      <c r="A472">
        <v>440090260</v>
      </c>
      <c r="B472" t="s">
        <v>492</v>
      </c>
      <c r="C472" t="s">
        <v>496</v>
      </c>
      <c r="E472" t="s">
        <v>562</v>
      </c>
      <c r="F472" t="s">
        <v>487</v>
      </c>
      <c r="G472" t="s">
        <v>487</v>
      </c>
      <c r="H472" t="s">
        <v>487</v>
      </c>
      <c r="I472" t="s">
        <v>487</v>
      </c>
    </row>
    <row r="473" spans="1:9" x14ac:dyDescent="0.3">
      <c r="A473">
        <v>440140034</v>
      </c>
      <c r="B473" t="s">
        <v>492</v>
      </c>
      <c r="C473" t="s">
        <v>532</v>
      </c>
      <c r="E473" t="s">
        <v>562</v>
      </c>
      <c r="F473" t="s">
        <v>487</v>
      </c>
      <c r="G473" t="s">
        <v>487</v>
      </c>
      <c r="H473" t="s">
        <v>487</v>
      </c>
      <c r="I473" t="s">
        <v>487</v>
      </c>
    </row>
    <row r="474" spans="1:9" x14ac:dyDescent="0.3">
      <c r="A474">
        <v>440250135</v>
      </c>
      <c r="B474" t="s">
        <v>492</v>
      </c>
      <c r="C474" t="s">
        <v>498</v>
      </c>
      <c r="E474" t="s">
        <v>562</v>
      </c>
      <c r="F474" t="s">
        <v>487</v>
      </c>
      <c r="G474" t="s">
        <v>487</v>
      </c>
      <c r="H474" t="s">
        <v>487</v>
      </c>
      <c r="I474" t="s">
        <v>487</v>
      </c>
    </row>
    <row r="475" spans="1:9" x14ac:dyDescent="0.3">
      <c r="A475">
        <v>440251235</v>
      </c>
      <c r="B475" t="s">
        <v>492</v>
      </c>
      <c r="C475" t="s">
        <v>498</v>
      </c>
      <c r="E475" t="s">
        <v>562</v>
      </c>
      <c r="F475" t="s">
        <v>487</v>
      </c>
      <c r="G475" t="s">
        <v>487</v>
      </c>
      <c r="H475" t="s">
        <v>487</v>
      </c>
      <c r="I475" t="s">
        <v>487</v>
      </c>
    </row>
    <row r="476" spans="1:9" x14ac:dyDescent="0.3">
      <c r="A476">
        <v>440270240</v>
      </c>
      <c r="B476" t="s">
        <v>492</v>
      </c>
      <c r="C476" t="s">
        <v>498</v>
      </c>
      <c r="E476" t="s">
        <v>562</v>
      </c>
      <c r="F476" t="s">
        <v>487</v>
      </c>
      <c r="G476" t="s">
        <v>487</v>
      </c>
      <c r="H476" t="s">
        <v>487</v>
      </c>
      <c r="I476" t="s">
        <v>487</v>
      </c>
    </row>
    <row r="477" spans="1:9" x14ac:dyDescent="0.3">
      <c r="A477">
        <v>440272038</v>
      </c>
      <c r="B477" t="s">
        <v>492</v>
      </c>
      <c r="C477" t="s">
        <v>498</v>
      </c>
      <c r="E477" t="s">
        <v>562</v>
      </c>
      <c r="F477" t="s">
        <v>487</v>
      </c>
      <c r="G477" t="s">
        <v>487</v>
      </c>
      <c r="H477" t="s">
        <v>487</v>
      </c>
      <c r="I477" t="s">
        <v>487</v>
      </c>
    </row>
    <row r="478" spans="1:9" x14ac:dyDescent="0.3">
      <c r="A478">
        <v>440360287</v>
      </c>
      <c r="B478" t="s">
        <v>492</v>
      </c>
      <c r="C478" t="s">
        <v>498</v>
      </c>
      <c r="E478" t="s">
        <v>562</v>
      </c>
      <c r="F478" t="s">
        <v>487</v>
      </c>
      <c r="G478" t="s">
        <v>487</v>
      </c>
      <c r="H478" t="s">
        <v>487</v>
      </c>
      <c r="I478" t="s">
        <v>487</v>
      </c>
    </row>
    <row r="479" spans="1:9" x14ac:dyDescent="0.3">
      <c r="A479">
        <v>440360387</v>
      </c>
      <c r="B479" t="s">
        <v>492</v>
      </c>
      <c r="C479" t="s">
        <v>498</v>
      </c>
      <c r="E479" t="s">
        <v>562</v>
      </c>
      <c r="F479" t="s">
        <v>487</v>
      </c>
      <c r="G479" t="s">
        <v>487</v>
      </c>
      <c r="H479" t="s">
        <v>487</v>
      </c>
      <c r="I479" t="s">
        <v>487</v>
      </c>
    </row>
    <row r="480" spans="1:9" x14ac:dyDescent="0.3">
      <c r="A480">
        <v>440361087</v>
      </c>
      <c r="B480" t="s">
        <v>492</v>
      </c>
      <c r="C480" t="s">
        <v>498</v>
      </c>
      <c r="E480" t="s">
        <v>562</v>
      </c>
      <c r="F480" t="s">
        <v>487</v>
      </c>
      <c r="G480" t="s">
        <v>487</v>
      </c>
      <c r="H480" t="s">
        <v>487</v>
      </c>
      <c r="I480" t="s">
        <v>487</v>
      </c>
    </row>
    <row r="481" spans="1:9" x14ac:dyDescent="0.3">
      <c r="A481">
        <v>440425715</v>
      </c>
      <c r="B481" t="s">
        <v>492</v>
      </c>
      <c r="C481" t="s">
        <v>505</v>
      </c>
      <c r="E481" t="s">
        <v>562</v>
      </c>
      <c r="F481" t="s">
        <v>487</v>
      </c>
      <c r="G481" t="s">
        <v>487</v>
      </c>
      <c r="H481" t="s">
        <v>487</v>
      </c>
      <c r="I481" t="s">
        <v>487</v>
      </c>
    </row>
    <row r="482" spans="1:9" x14ac:dyDescent="0.3">
      <c r="A482">
        <v>440425815</v>
      </c>
      <c r="B482" t="s">
        <v>492</v>
      </c>
      <c r="C482" t="s">
        <v>505</v>
      </c>
      <c r="E482" t="s">
        <v>562</v>
      </c>
      <c r="F482" t="s">
        <v>487</v>
      </c>
      <c r="G482" t="s">
        <v>487</v>
      </c>
      <c r="H482" t="s">
        <v>487</v>
      </c>
      <c r="I482" t="s">
        <v>487</v>
      </c>
    </row>
    <row r="483" spans="1:9" x14ac:dyDescent="0.3">
      <c r="A483">
        <v>440426015</v>
      </c>
      <c r="B483" t="s">
        <v>492</v>
      </c>
      <c r="C483" t="s">
        <v>505</v>
      </c>
      <c r="E483" t="s">
        <v>562</v>
      </c>
      <c r="F483" t="s">
        <v>487</v>
      </c>
      <c r="G483" t="s">
        <v>487</v>
      </c>
      <c r="H483" t="s">
        <v>487</v>
      </c>
      <c r="I483" t="s">
        <v>487</v>
      </c>
    </row>
    <row r="484" spans="1:9" x14ac:dyDescent="0.3">
      <c r="A484">
        <v>410015729</v>
      </c>
      <c r="B484" t="s">
        <v>476</v>
      </c>
      <c r="C484" t="s">
        <v>563</v>
      </c>
      <c r="D484" t="s">
        <v>564</v>
      </c>
      <c r="E484" t="s">
        <v>485</v>
      </c>
      <c r="F484" t="s">
        <v>487</v>
      </c>
      <c r="G484" t="s">
        <v>487</v>
      </c>
      <c r="H484" t="s">
        <v>487</v>
      </c>
      <c r="I484" t="s">
        <v>487</v>
      </c>
    </row>
    <row r="485" spans="1:9" x14ac:dyDescent="0.3">
      <c r="A485">
        <v>418021758</v>
      </c>
      <c r="B485" t="s">
        <v>492</v>
      </c>
      <c r="C485" t="s">
        <v>498</v>
      </c>
      <c r="D485" t="s">
        <v>499</v>
      </c>
      <c r="E485" t="s">
        <v>485</v>
      </c>
      <c r="F485" t="s">
        <v>487</v>
      </c>
      <c r="G485" t="s">
        <v>487</v>
      </c>
      <c r="H485" t="s">
        <v>487</v>
      </c>
      <c r="I485" t="s">
        <v>487</v>
      </c>
    </row>
    <row r="486" spans="1:9" x14ac:dyDescent="0.3">
      <c r="A486">
        <v>410121607</v>
      </c>
      <c r="B486" t="s">
        <v>492</v>
      </c>
      <c r="C486" t="s">
        <v>511</v>
      </c>
      <c r="D486" t="s">
        <v>511</v>
      </c>
      <c r="E486" t="s">
        <v>485</v>
      </c>
      <c r="F486" t="s">
        <v>487</v>
      </c>
      <c r="G486" t="s">
        <v>487</v>
      </c>
      <c r="H486" t="s">
        <v>487</v>
      </c>
      <c r="I486" t="s">
        <v>487</v>
      </c>
    </row>
    <row r="487" spans="1:9" x14ac:dyDescent="0.3">
      <c r="A487">
        <v>410120507</v>
      </c>
      <c r="B487" t="s">
        <v>492</v>
      </c>
      <c r="C487" t="s">
        <v>511</v>
      </c>
      <c r="D487" t="s">
        <v>511</v>
      </c>
      <c r="E487" t="s">
        <v>485</v>
      </c>
      <c r="F487" t="s">
        <v>487</v>
      </c>
      <c r="G487" t="s">
        <v>487</v>
      </c>
      <c r="H487" t="s">
        <v>487</v>
      </c>
      <c r="I487" t="s">
        <v>487</v>
      </c>
    </row>
    <row r="488" spans="1:9" x14ac:dyDescent="0.3">
      <c r="A488">
        <v>410060199</v>
      </c>
      <c r="B488" t="s">
        <v>492</v>
      </c>
      <c r="C488" t="s">
        <v>526</v>
      </c>
      <c r="D488" t="s">
        <v>526</v>
      </c>
      <c r="E488" t="s">
        <v>485</v>
      </c>
      <c r="F488" t="s">
        <v>485</v>
      </c>
      <c r="G488" t="s">
        <v>487</v>
      </c>
      <c r="H488" t="s">
        <v>487</v>
      </c>
      <c r="I488" t="s">
        <v>487</v>
      </c>
    </row>
    <row r="489" spans="1:9" x14ac:dyDescent="0.3">
      <c r="A489">
        <v>410060299</v>
      </c>
      <c r="B489" t="s">
        <v>492</v>
      </c>
      <c r="C489" t="s">
        <v>526</v>
      </c>
      <c r="D489" t="s">
        <v>526</v>
      </c>
      <c r="E489" t="s">
        <v>485</v>
      </c>
      <c r="F489" t="s">
        <v>485</v>
      </c>
      <c r="G489" t="s">
        <v>487</v>
      </c>
      <c r="H489" t="s">
        <v>487</v>
      </c>
      <c r="I489" t="s">
        <v>487</v>
      </c>
    </row>
    <row r="490" spans="1:9" x14ac:dyDescent="0.3">
      <c r="A490">
        <v>410060399</v>
      </c>
      <c r="B490" t="s">
        <v>492</v>
      </c>
      <c r="C490" t="s">
        <v>526</v>
      </c>
      <c r="D490" t="s">
        <v>526</v>
      </c>
      <c r="E490" t="s">
        <v>485</v>
      </c>
      <c r="F490" t="s">
        <v>485</v>
      </c>
      <c r="G490" t="s">
        <v>487</v>
      </c>
      <c r="H490" t="s">
        <v>487</v>
      </c>
      <c r="I490" t="s">
        <v>487</v>
      </c>
    </row>
    <row r="491" spans="1:9" x14ac:dyDescent="0.3">
      <c r="A491">
        <v>410060499</v>
      </c>
      <c r="B491" t="s">
        <v>492</v>
      </c>
      <c r="C491" t="s">
        <v>526</v>
      </c>
      <c r="D491" t="s">
        <v>526</v>
      </c>
      <c r="E491" t="s">
        <v>485</v>
      </c>
      <c r="F491" t="s">
        <v>485</v>
      </c>
      <c r="G491" t="s">
        <v>487</v>
      </c>
      <c r="H491" t="s">
        <v>487</v>
      </c>
      <c r="I491" t="s">
        <v>487</v>
      </c>
    </row>
    <row r="492" spans="1:9" x14ac:dyDescent="0.3">
      <c r="A492">
        <v>410066399</v>
      </c>
      <c r="B492" t="s">
        <v>492</v>
      </c>
      <c r="C492" t="s">
        <v>526</v>
      </c>
      <c r="D492" t="s">
        <v>526</v>
      </c>
      <c r="E492" t="s">
        <v>485</v>
      </c>
      <c r="F492" t="s">
        <v>485</v>
      </c>
      <c r="G492" t="s">
        <v>487</v>
      </c>
      <c r="H492" t="s">
        <v>487</v>
      </c>
      <c r="I492" t="s">
        <v>487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A7A7-7E5F-43A8-BCE7-8376840C452D}">
  <dimension ref="A1:E153"/>
  <sheetViews>
    <sheetView workbookViewId="0">
      <selection sqref="A1:E153"/>
    </sheetView>
  </sheetViews>
  <sheetFormatPr defaultRowHeight="14.4" x14ac:dyDescent="0.3"/>
  <cols>
    <col min="1" max="1" width="11.6640625" bestFit="1" customWidth="1"/>
    <col min="2" max="2" width="48.5546875" bestFit="1" customWidth="1"/>
    <col min="3" max="3" width="11.88671875" bestFit="1" customWidth="1"/>
    <col min="4" max="4" width="13.109375" style="7" bestFit="1" customWidth="1"/>
    <col min="5" max="5" width="8.6640625" style="7" bestFit="1" customWidth="1"/>
    <col min="6" max="6" width="6.6640625" bestFit="1" customWidth="1"/>
    <col min="7" max="7" width="12.5546875" bestFit="1" customWidth="1"/>
    <col min="8" max="8" width="12" bestFit="1" customWidth="1"/>
    <col min="9" max="9" width="12.109375" bestFit="1" customWidth="1"/>
    <col min="10" max="10" width="12.6640625" bestFit="1" customWidth="1"/>
    <col min="11" max="11" width="7.6640625" bestFit="1" customWidth="1"/>
    <col min="12" max="12" width="9.6640625" bestFit="1" customWidth="1"/>
    <col min="13" max="13" width="17.6640625" bestFit="1" customWidth="1"/>
    <col min="14" max="14" width="13.109375" bestFit="1" customWidth="1"/>
    <col min="15" max="15" width="14.5546875" bestFit="1" customWidth="1"/>
    <col min="16" max="16" width="12.6640625" bestFit="1" customWidth="1"/>
    <col min="17" max="17" width="34.88671875" bestFit="1" customWidth="1"/>
    <col min="18" max="18" width="13.109375" bestFit="1" customWidth="1"/>
    <col min="19" max="19" width="19.33203125" bestFit="1" customWidth="1"/>
    <col min="20" max="20" width="10.109375" bestFit="1" customWidth="1"/>
    <col min="21" max="21" width="50.6640625" bestFit="1" customWidth="1"/>
    <col min="22" max="22" width="7.33203125" bestFit="1" customWidth="1"/>
    <col min="23" max="23" width="5.44140625" bestFit="1" customWidth="1"/>
    <col min="24" max="24" width="27.109375" bestFit="1" customWidth="1"/>
    <col min="25" max="25" width="8.6640625" bestFit="1" customWidth="1"/>
    <col min="26" max="26" width="11.6640625" bestFit="1" customWidth="1"/>
    <col min="27" max="27" width="48.6640625" bestFit="1" customWidth="1"/>
    <col min="28" max="28" width="12" bestFit="1" customWidth="1"/>
    <col min="29" max="29" width="12.33203125" bestFit="1" customWidth="1"/>
    <col min="30" max="30" width="7.88671875" bestFit="1" customWidth="1"/>
    <col min="31" max="31" width="15.5546875" bestFit="1" customWidth="1"/>
    <col min="32" max="32" width="11.109375" bestFit="1" customWidth="1"/>
    <col min="33" max="33" width="13.5546875" bestFit="1" customWidth="1"/>
    <col min="34" max="34" width="11.6640625" bestFit="1" customWidth="1"/>
    <col min="35" max="35" width="10.88671875" bestFit="1" customWidth="1"/>
    <col min="36" max="36" width="12.109375" bestFit="1" customWidth="1"/>
    <col min="37" max="37" width="10" bestFit="1" customWidth="1"/>
    <col min="38" max="38" width="15.33203125" bestFit="1" customWidth="1"/>
    <col min="39" max="39" width="21.88671875" bestFit="1" customWidth="1"/>
    <col min="40" max="40" width="36" bestFit="1" customWidth="1"/>
    <col min="41" max="41" width="29.33203125" bestFit="1" customWidth="1"/>
  </cols>
  <sheetData>
    <row r="1" spans="1:5" x14ac:dyDescent="0.3">
      <c r="A1" t="s">
        <v>468</v>
      </c>
      <c r="B1" t="s">
        <v>565</v>
      </c>
      <c r="C1" t="s">
        <v>566</v>
      </c>
      <c r="D1" s="7" t="s">
        <v>567</v>
      </c>
      <c r="E1" s="7" t="s">
        <v>55</v>
      </c>
    </row>
    <row r="2" spans="1:5" x14ac:dyDescent="0.3">
      <c r="A2">
        <v>400010032</v>
      </c>
      <c r="B2" t="s">
        <v>568</v>
      </c>
      <c r="C2">
        <v>5567</v>
      </c>
      <c r="D2" s="7">
        <v>940798.32000000018</v>
      </c>
      <c r="E2" s="7">
        <v>168.99556673253102</v>
      </c>
    </row>
    <row r="3" spans="1:5" x14ac:dyDescent="0.3">
      <c r="A3">
        <v>410010020</v>
      </c>
      <c r="B3" t="s">
        <v>569</v>
      </c>
      <c r="C3">
        <v>5664</v>
      </c>
      <c r="D3" s="7">
        <v>572488.57000000007</v>
      </c>
      <c r="E3" s="7">
        <v>101.07495939265537</v>
      </c>
    </row>
    <row r="4" spans="1:5" x14ac:dyDescent="0.3">
      <c r="A4">
        <v>410010021</v>
      </c>
      <c r="B4" t="s">
        <v>570</v>
      </c>
      <c r="C4">
        <v>9710</v>
      </c>
      <c r="D4" s="7">
        <v>1894107.649999999</v>
      </c>
      <c r="E4" s="7">
        <v>195.06772914521102</v>
      </c>
    </row>
    <row r="5" spans="1:5" x14ac:dyDescent="0.3">
      <c r="A5">
        <v>410014749</v>
      </c>
      <c r="B5" t="s">
        <v>571</v>
      </c>
      <c r="C5">
        <v>5</v>
      </c>
      <c r="D5" s="7">
        <v>462</v>
      </c>
      <c r="E5" s="7">
        <v>92.4</v>
      </c>
    </row>
    <row r="6" spans="1:5" x14ac:dyDescent="0.3">
      <c r="A6">
        <v>410014791</v>
      </c>
      <c r="B6" t="s">
        <v>572</v>
      </c>
      <c r="C6">
        <v>7683</v>
      </c>
      <c r="D6" s="7">
        <v>362102.86000000004</v>
      </c>
      <c r="E6" s="7">
        <v>47.130399583496036</v>
      </c>
    </row>
    <row r="7" spans="1:5" x14ac:dyDescent="0.3">
      <c r="A7">
        <v>410014792</v>
      </c>
      <c r="B7" t="s">
        <v>573</v>
      </c>
      <c r="C7">
        <v>14212</v>
      </c>
      <c r="D7" s="7">
        <v>1389525.1399999994</v>
      </c>
      <c r="E7" s="7">
        <v>97.771259499014874</v>
      </c>
    </row>
    <row r="8" spans="1:5" x14ac:dyDescent="0.3">
      <c r="A8">
        <v>410015592</v>
      </c>
      <c r="B8" t="s">
        <v>574</v>
      </c>
      <c r="C8">
        <v>1641</v>
      </c>
      <c r="D8" s="7">
        <v>210992.65000000002</v>
      </c>
      <c r="E8" s="7">
        <v>128.57565508836078</v>
      </c>
    </row>
    <row r="9" spans="1:5" x14ac:dyDescent="0.3">
      <c r="A9">
        <v>410015602</v>
      </c>
      <c r="B9" t="s">
        <v>575</v>
      </c>
      <c r="C9">
        <v>3</v>
      </c>
      <c r="D9" s="7">
        <v>613.08000000000004</v>
      </c>
      <c r="E9" s="7">
        <v>204.36</v>
      </c>
    </row>
    <row r="10" spans="1:5" x14ac:dyDescent="0.3">
      <c r="A10">
        <v>410015618</v>
      </c>
      <c r="B10" t="s">
        <v>576</v>
      </c>
      <c r="C10">
        <v>1049</v>
      </c>
      <c r="D10" s="7">
        <v>38257.43</v>
      </c>
      <c r="E10" s="7">
        <v>36.47038131553861</v>
      </c>
    </row>
    <row r="11" spans="1:5" x14ac:dyDescent="0.3">
      <c r="A11">
        <v>410015729</v>
      </c>
      <c r="B11" t="s">
        <v>577</v>
      </c>
      <c r="C11">
        <v>24531</v>
      </c>
      <c r="D11" s="7">
        <v>1400221.25</v>
      </c>
      <c r="E11" s="7">
        <v>57.079664506135096</v>
      </c>
    </row>
    <row r="12" spans="1:5" x14ac:dyDescent="0.3">
      <c r="A12">
        <v>410020009</v>
      </c>
      <c r="B12" t="s">
        <v>578</v>
      </c>
      <c r="C12">
        <v>5</v>
      </c>
      <c r="D12" s="7">
        <v>748.8</v>
      </c>
      <c r="E12" s="7">
        <v>149.76</v>
      </c>
    </row>
    <row r="13" spans="1:5" x14ac:dyDescent="0.3">
      <c r="A13">
        <v>410025604</v>
      </c>
      <c r="B13" t="s">
        <v>579</v>
      </c>
      <c r="C13">
        <v>3596</v>
      </c>
      <c r="D13" s="7">
        <v>593119.4100000005</v>
      </c>
      <c r="E13" s="7">
        <v>164.9386568409345</v>
      </c>
    </row>
    <row r="14" spans="1:5" x14ac:dyDescent="0.3">
      <c r="A14">
        <v>410025605</v>
      </c>
      <c r="B14" t="s">
        <v>580</v>
      </c>
      <c r="C14">
        <v>1449</v>
      </c>
      <c r="D14" s="7">
        <v>226177.55000000005</v>
      </c>
      <c r="E14" s="7">
        <v>156.09216701173227</v>
      </c>
    </row>
    <row r="15" spans="1:5" x14ac:dyDescent="0.3">
      <c r="A15">
        <v>410025606</v>
      </c>
      <c r="B15" t="s">
        <v>581</v>
      </c>
      <c r="C15">
        <v>291</v>
      </c>
      <c r="D15" s="7">
        <v>76208.030000000013</v>
      </c>
      <c r="E15" s="7">
        <v>261.88326460481102</v>
      </c>
    </row>
    <row r="16" spans="1:5" x14ac:dyDescent="0.3">
      <c r="A16">
        <v>410025614</v>
      </c>
      <c r="B16" t="s">
        <v>582</v>
      </c>
      <c r="C16">
        <v>16120</v>
      </c>
      <c r="D16" s="7">
        <v>693881.83999999973</v>
      </c>
      <c r="E16" s="7">
        <v>43.044779156327529</v>
      </c>
    </row>
    <row r="17" spans="1:5" x14ac:dyDescent="0.3">
      <c r="A17">
        <v>410025615</v>
      </c>
      <c r="B17" t="s">
        <v>583</v>
      </c>
      <c r="C17">
        <v>6449</v>
      </c>
      <c r="D17" s="7">
        <v>165219.41000000006</v>
      </c>
      <c r="E17" s="7">
        <v>25.619384400682286</v>
      </c>
    </row>
    <row r="18" spans="1:5" x14ac:dyDescent="0.3">
      <c r="A18">
        <v>410025625</v>
      </c>
      <c r="B18" t="s">
        <v>584</v>
      </c>
      <c r="C18">
        <v>5</v>
      </c>
      <c r="D18" s="7">
        <v>1075.2</v>
      </c>
      <c r="E18" s="7">
        <v>215.04000000000002</v>
      </c>
    </row>
    <row r="19" spans="1:5" x14ac:dyDescent="0.3">
      <c r="A19">
        <v>410025626</v>
      </c>
      <c r="B19" t="s">
        <v>83</v>
      </c>
      <c r="C19">
        <v>4552</v>
      </c>
      <c r="D19" s="7">
        <v>445898.22</v>
      </c>
      <c r="E19" s="7">
        <v>97.956550966608077</v>
      </c>
    </row>
    <row r="20" spans="1:5" x14ac:dyDescent="0.3">
      <c r="A20">
        <v>410026208</v>
      </c>
      <c r="B20" t="s">
        <v>585</v>
      </c>
      <c r="C20">
        <v>306</v>
      </c>
      <c r="D20" s="7">
        <v>40244.48000000001</v>
      </c>
      <c r="E20" s="7">
        <v>131.51790849673205</v>
      </c>
    </row>
    <row r="21" spans="1:5" x14ac:dyDescent="0.3">
      <c r="A21">
        <v>410026401</v>
      </c>
      <c r="B21" t="s">
        <v>586</v>
      </c>
      <c r="C21">
        <v>652</v>
      </c>
      <c r="D21" s="7">
        <v>74637.73000000001</v>
      </c>
      <c r="E21" s="7">
        <v>114.47504601226996</v>
      </c>
    </row>
    <row r="22" spans="1:5" x14ac:dyDescent="0.3">
      <c r="A22">
        <v>410026410</v>
      </c>
      <c r="B22" t="s">
        <v>587</v>
      </c>
      <c r="C22">
        <v>4747</v>
      </c>
      <c r="D22" s="7">
        <v>405156.55000000005</v>
      </c>
      <c r="E22" s="7">
        <v>85.350021065936389</v>
      </c>
    </row>
    <row r="23" spans="1:5" x14ac:dyDescent="0.3">
      <c r="A23">
        <v>410026415</v>
      </c>
      <c r="B23" t="s">
        <v>588</v>
      </c>
      <c r="C23">
        <v>1279</v>
      </c>
      <c r="D23" s="7">
        <v>48546.539999999994</v>
      </c>
      <c r="E23" s="7">
        <v>37.956637998436271</v>
      </c>
    </row>
    <row r="24" spans="1:5" x14ac:dyDescent="0.3">
      <c r="A24">
        <v>410030002</v>
      </c>
      <c r="B24" t="s">
        <v>589</v>
      </c>
      <c r="C24">
        <v>231</v>
      </c>
      <c r="D24" s="7">
        <v>54733.830000000016</v>
      </c>
      <c r="E24" s="7">
        <v>236.94298701298709</v>
      </c>
    </row>
    <row r="25" spans="1:5" x14ac:dyDescent="0.3">
      <c r="A25">
        <v>410030004</v>
      </c>
      <c r="B25" t="s">
        <v>590</v>
      </c>
      <c r="C25">
        <v>204</v>
      </c>
      <c r="D25" s="7">
        <v>12025.730000000001</v>
      </c>
      <c r="E25" s="7">
        <v>58.949656862745108</v>
      </c>
    </row>
    <row r="26" spans="1:5" x14ac:dyDescent="0.3">
      <c r="A26">
        <v>410030202</v>
      </c>
      <c r="B26" t="s">
        <v>591</v>
      </c>
      <c r="C26">
        <v>210</v>
      </c>
      <c r="D26" s="7">
        <v>48252.170000000006</v>
      </c>
      <c r="E26" s="7">
        <v>229.77223809523812</v>
      </c>
    </row>
    <row r="27" spans="1:5" x14ac:dyDescent="0.3">
      <c r="A27">
        <v>410030204</v>
      </c>
      <c r="B27" t="s">
        <v>592</v>
      </c>
      <c r="C27">
        <v>172</v>
      </c>
      <c r="D27" s="7">
        <v>10029.39</v>
      </c>
      <c r="E27" s="7">
        <v>58.310406976744183</v>
      </c>
    </row>
    <row r="28" spans="1:5" x14ac:dyDescent="0.3">
      <c r="A28">
        <v>410030304</v>
      </c>
      <c r="B28" t="s">
        <v>593</v>
      </c>
      <c r="C28">
        <v>8</v>
      </c>
      <c r="D28" s="7">
        <v>439.55</v>
      </c>
      <c r="E28" s="7">
        <v>54.943750000000001</v>
      </c>
    </row>
    <row r="29" spans="1:5" x14ac:dyDescent="0.3">
      <c r="A29">
        <v>410030602</v>
      </c>
      <c r="B29" t="s">
        <v>594</v>
      </c>
      <c r="C29">
        <v>208</v>
      </c>
      <c r="D29" s="7">
        <v>48796.920000000006</v>
      </c>
      <c r="E29" s="7">
        <v>234.60057692307694</v>
      </c>
    </row>
    <row r="30" spans="1:5" x14ac:dyDescent="0.3">
      <c r="A30">
        <v>410030604</v>
      </c>
      <c r="B30" t="s">
        <v>595</v>
      </c>
      <c r="C30">
        <v>193</v>
      </c>
      <c r="D30" s="7">
        <v>11383.06</v>
      </c>
      <c r="E30" s="7">
        <v>58.979585492227976</v>
      </c>
    </row>
    <row r="31" spans="1:5" x14ac:dyDescent="0.3">
      <c r="A31">
        <v>410030702</v>
      </c>
      <c r="B31" t="s">
        <v>596</v>
      </c>
      <c r="C31">
        <v>201</v>
      </c>
      <c r="D31" s="7">
        <v>47644.26</v>
      </c>
      <c r="E31" s="7">
        <v>237.03611940298509</v>
      </c>
    </row>
    <row r="32" spans="1:5" x14ac:dyDescent="0.3">
      <c r="A32">
        <v>410030704</v>
      </c>
      <c r="B32" t="s">
        <v>597</v>
      </c>
      <c r="C32">
        <v>162</v>
      </c>
      <c r="D32" s="7">
        <v>9721.8799999999992</v>
      </c>
      <c r="E32" s="7">
        <v>60.011604938271603</v>
      </c>
    </row>
    <row r="33" spans="1:5" x14ac:dyDescent="0.3">
      <c r="A33">
        <v>410030908</v>
      </c>
      <c r="B33" t="s">
        <v>598</v>
      </c>
      <c r="C33">
        <v>18</v>
      </c>
      <c r="D33" s="7">
        <v>7940.16</v>
      </c>
      <c r="E33" s="7">
        <v>441.12</v>
      </c>
    </row>
    <row r="34" spans="1:5" x14ac:dyDescent="0.3">
      <c r="A34">
        <v>410031008</v>
      </c>
      <c r="B34" t="s">
        <v>236</v>
      </c>
      <c r="C34">
        <v>81</v>
      </c>
      <c r="D34" s="7">
        <v>29982.149999999998</v>
      </c>
      <c r="E34" s="7">
        <v>370.15</v>
      </c>
    </row>
    <row r="35" spans="1:5" x14ac:dyDescent="0.3">
      <c r="A35">
        <v>410031010</v>
      </c>
      <c r="B35" t="s">
        <v>236</v>
      </c>
      <c r="C35">
        <v>34</v>
      </c>
      <c r="D35" s="7">
        <v>12509.28</v>
      </c>
      <c r="E35" s="7">
        <v>367.92</v>
      </c>
    </row>
    <row r="36" spans="1:5" x14ac:dyDescent="0.3">
      <c r="A36">
        <v>410031108</v>
      </c>
      <c r="B36" t="s">
        <v>599</v>
      </c>
      <c r="C36">
        <v>13</v>
      </c>
      <c r="D36" s="7">
        <v>6061.61</v>
      </c>
      <c r="E36" s="7">
        <v>466.27769230769229</v>
      </c>
    </row>
    <row r="37" spans="1:5" x14ac:dyDescent="0.3">
      <c r="A37">
        <v>410031208</v>
      </c>
      <c r="B37" t="s">
        <v>237</v>
      </c>
      <c r="C37">
        <v>36</v>
      </c>
      <c r="D37" s="7">
        <v>14421.369999999999</v>
      </c>
      <c r="E37" s="7">
        <v>400.5936111111111</v>
      </c>
    </row>
    <row r="38" spans="1:5" x14ac:dyDescent="0.3">
      <c r="A38">
        <v>410031210</v>
      </c>
      <c r="B38" t="s">
        <v>237</v>
      </c>
      <c r="C38">
        <v>34</v>
      </c>
      <c r="D38" s="7">
        <v>12509.28</v>
      </c>
      <c r="E38" s="7">
        <v>367.92</v>
      </c>
    </row>
    <row r="39" spans="1:5" x14ac:dyDescent="0.3">
      <c r="A39">
        <v>410031709</v>
      </c>
      <c r="B39" t="s">
        <v>600</v>
      </c>
      <c r="C39">
        <v>2</v>
      </c>
      <c r="D39" s="7">
        <v>515.01</v>
      </c>
      <c r="E39" s="7">
        <v>257.505</v>
      </c>
    </row>
    <row r="40" spans="1:5" x14ac:dyDescent="0.3">
      <c r="A40">
        <v>410031809</v>
      </c>
      <c r="B40" t="s">
        <v>229</v>
      </c>
      <c r="C40">
        <v>8</v>
      </c>
      <c r="D40" s="7">
        <v>1841.25</v>
      </c>
      <c r="E40" s="7">
        <v>230.15625</v>
      </c>
    </row>
    <row r="41" spans="1:5" x14ac:dyDescent="0.3">
      <c r="A41">
        <v>410031810</v>
      </c>
      <c r="B41" t="s">
        <v>229</v>
      </c>
      <c r="C41">
        <v>18</v>
      </c>
      <c r="D41" s="7">
        <v>3978.72</v>
      </c>
      <c r="E41" s="7">
        <v>221.04</v>
      </c>
    </row>
    <row r="42" spans="1:5" x14ac:dyDescent="0.3">
      <c r="A42">
        <v>410031909</v>
      </c>
      <c r="B42" t="s">
        <v>601</v>
      </c>
      <c r="C42">
        <v>13</v>
      </c>
      <c r="D42" s="7">
        <v>2872.56</v>
      </c>
      <c r="E42" s="7">
        <v>220.96615384615384</v>
      </c>
    </row>
    <row r="43" spans="1:5" x14ac:dyDescent="0.3">
      <c r="A43">
        <v>410031912</v>
      </c>
      <c r="B43" t="s">
        <v>363</v>
      </c>
      <c r="C43">
        <v>34</v>
      </c>
      <c r="D43" s="7">
        <v>7515.36</v>
      </c>
      <c r="E43" s="7">
        <v>221.04</v>
      </c>
    </row>
    <row r="44" spans="1:5" x14ac:dyDescent="0.3">
      <c r="A44">
        <v>410032009</v>
      </c>
      <c r="B44" t="s">
        <v>602</v>
      </c>
      <c r="C44">
        <v>6</v>
      </c>
      <c r="D44" s="7">
        <v>1325.92</v>
      </c>
      <c r="E44" s="7">
        <v>220.98666666666668</v>
      </c>
    </row>
    <row r="45" spans="1:5" x14ac:dyDescent="0.3">
      <c r="A45">
        <v>410032012</v>
      </c>
      <c r="B45" t="s">
        <v>365</v>
      </c>
      <c r="C45">
        <v>12</v>
      </c>
      <c r="D45" s="7">
        <v>2652.48</v>
      </c>
      <c r="E45" s="7">
        <v>221.04</v>
      </c>
    </row>
    <row r="46" spans="1:5" x14ac:dyDescent="0.3">
      <c r="A46">
        <v>410032108</v>
      </c>
      <c r="B46" t="s">
        <v>603</v>
      </c>
      <c r="C46">
        <v>28</v>
      </c>
      <c r="D46" s="7">
        <v>11424.16</v>
      </c>
      <c r="E46" s="7">
        <v>408.0057142857143</v>
      </c>
    </row>
    <row r="47" spans="1:5" x14ac:dyDescent="0.3">
      <c r="A47">
        <v>410032208</v>
      </c>
      <c r="B47" t="s">
        <v>604</v>
      </c>
      <c r="C47">
        <v>6</v>
      </c>
      <c r="D47" s="7">
        <v>2379.88</v>
      </c>
      <c r="E47" s="7">
        <v>396.6466666666667</v>
      </c>
    </row>
    <row r="48" spans="1:5" x14ac:dyDescent="0.3">
      <c r="A48">
        <v>410032209</v>
      </c>
      <c r="B48" t="s">
        <v>605</v>
      </c>
      <c r="C48">
        <v>8</v>
      </c>
      <c r="D48" s="7">
        <v>2943.36</v>
      </c>
      <c r="E48" s="7">
        <v>367.92</v>
      </c>
    </row>
    <row r="49" spans="1:5" x14ac:dyDescent="0.3">
      <c r="A49">
        <v>410032511</v>
      </c>
      <c r="B49" t="s">
        <v>606</v>
      </c>
      <c r="C49">
        <v>72</v>
      </c>
      <c r="D49" s="7">
        <v>15914.88</v>
      </c>
      <c r="E49" s="7">
        <v>221.04</v>
      </c>
    </row>
    <row r="50" spans="1:5" x14ac:dyDescent="0.3">
      <c r="A50">
        <v>410032609</v>
      </c>
      <c r="B50" t="s">
        <v>607</v>
      </c>
      <c r="C50">
        <v>11</v>
      </c>
      <c r="D50" s="7">
        <v>2504.69</v>
      </c>
      <c r="E50" s="7">
        <v>227.69909090909093</v>
      </c>
    </row>
    <row r="51" spans="1:5" x14ac:dyDescent="0.3">
      <c r="A51">
        <v>410032610</v>
      </c>
      <c r="B51" t="s">
        <v>608</v>
      </c>
      <c r="C51">
        <v>34</v>
      </c>
      <c r="D51" s="7">
        <v>7515.36</v>
      </c>
      <c r="E51" s="7">
        <v>221.04</v>
      </c>
    </row>
    <row r="52" spans="1:5" x14ac:dyDescent="0.3">
      <c r="A52">
        <v>410040147</v>
      </c>
      <c r="B52" t="s">
        <v>609</v>
      </c>
      <c r="C52">
        <v>184</v>
      </c>
      <c r="D52" s="7">
        <v>28418.13</v>
      </c>
      <c r="E52" s="7">
        <v>154.44635869565218</v>
      </c>
    </row>
    <row r="53" spans="1:5" x14ac:dyDescent="0.3">
      <c r="A53">
        <v>410040157</v>
      </c>
      <c r="B53" t="s">
        <v>610</v>
      </c>
      <c r="C53">
        <v>6309</v>
      </c>
      <c r="D53" s="7">
        <v>984591.87</v>
      </c>
      <c r="E53" s="7">
        <v>156.06147883975274</v>
      </c>
    </row>
    <row r="54" spans="1:5" x14ac:dyDescent="0.3">
      <c r="A54">
        <v>410040247</v>
      </c>
      <c r="B54" t="s">
        <v>611</v>
      </c>
      <c r="C54">
        <v>290</v>
      </c>
      <c r="D54" s="7">
        <v>43195.630000000005</v>
      </c>
      <c r="E54" s="7">
        <v>148.95044827586207</v>
      </c>
    </row>
    <row r="55" spans="1:5" x14ac:dyDescent="0.3">
      <c r="A55">
        <v>410040257</v>
      </c>
      <c r="B55" t="s">
        <v>612</v>
      </c>
      <c r="C55">
        <v>2142</v>
      </c>
      <c r="D55" s="7">
        <v>345573.17000000004</v>
      </c>
      <c r="E55" s="7">
        <v>161.33201213818862</v>
      </c>
    </row>
    <row r="56" spans="1:5" x14ac:dyDescent="0.3">
      <c r="A56">
        <v>410040357</v>
      </c>
      <c r="B56" t="s">
        <v>613</v>
      </c>
      <c r="C56">
        <v>4574</v>
      </c>
      <c r="D56" s="7">
        <v>715715.87</v>
      </c>
      <c r="E56" s="7">
        <v>156.4748294709226</v>
      </c>
    </row>
    <row r="57" spans="1:5" x14ac:dyDescent="0.3">
      <c r="A57">
        <v>410040457</v>
      </c>
      <c r="B57" t="s">
        <v>614</v>
      </c>
      <c r="C57">
        <v>477</v>
      </c>
      <c r="D57" s="7">
        <v>66902.209999999992</v>
      </c>
      <c r="E57" s="7">
        <v>140.25620545073375</v>
      </c>
    </row>
    <row r="58" spans="1:5" x14ac:dyDescent="0.3">
      <c r="A58">
        <v>410040557</v>
      </c>
      <c r="B58" t="s">
        <v>615</v>
      </c>
      <c r="C58">
        <v>319</v>
      </c>
      <c r="D58" s="7">
        <v>46747.170000000013</v>
      </c>
      <c r="E58" s="7">
        <v>146.54285266457686</v>
      </c>
    </row>
    <row r="59" spans="1:5" x14ac:dyDescent="0.3">
      <c r="A59">
        <v>410040647</v>
      </c>
      <c r="B59" t="s">
        <v>616</v>
      </c>
      <c r="C59">
        <v>89</v>
      </c>
      <c r="D59" s="7">
        <v>13754.880000000001</v>
      </c>
      <c r="E59" s="7">
        <v>154.54921348314608</v>
      </c>
    </row>
    <row r="60" spans="1:5" x14ac:dyDescent="0.3">
      <c r="A60">
        <v>410040657</v>
      </c>
      <c r="B60" t="s">
        <v>617</v>
      </c>
      <c r="C60">
        <v>839</v>
      </c>
      <c r="D60" s="7">
        <v>126397.69999999998</v>
      </c>
      <c r="E60" s="7">
        <v>150.65280095351608</v>
      </c>
    </row>
    <row r="61" spans="1:5" x14ac:dyDescent="0.3">
      <c r="A61">
        <v>410040857</v>
      </c>
      <c r="B61" t="s">
        <v>618</v>
      </c>
      <c r="C61">
        <v>253</v>
      </c>
      <c r="D61" s="7">
        <v>37340.109999999993</v>
      </c>
      <c r="E61" s="7">
        <v>147.58936758893279</v>
      </c>
    </row>
    <row r="62" spans="1:5" x14ac:dyDescent="0.3">
      <c r="A62">
        <v>410041357</v>
      </c>
      <c r="B62" t="s">
        <v>619</v>
      </c>
      <c r="C62">
        <v>2139</v>
      </c>
      <c r="D62" s="7">
        <v>313480.71999999991</v>
      </c>
      <c r="E62" s="7">
        <v>146.55480130902288</v>
      </c>
    </row>
    <row r="63" spans="1:5" x14ac:dyDescent="0.3">
      <c r="A63">
        <v>410041457</v>
      </c>
      <c r="B63" t="s">
        <v>620</v>
      </c>
      <c r="C63">
        <v>3033</v>
      </c>
      <c r="D63" s="7">
        <v>493333.62999999995</v>
      </c>
      <c r="E63" s="7">
        <v>162.65533465215955</v>
      </c>
    </row>
    <row r="64" spans="1:5" x14ac:dyDescent="0.3">
      <c r="A64">
        <v>410041557</v>
      </c>
      <c r="B64" t="s">
        <v>621</v>
      </c>
      <c r="C64">
        <v>1045</v>
      </c>
      <c r="D64" s="7">
        <v>144537.1</v>
      </c>
      <c r="E64" s="7">
        <v>138.31301435406698</v>
      </c>
    </row>
    <row r="65" spans="1:5" x14ac:dyDescent="0.3">
      <c r="A65">
        <v>410042957</v>
      </c>
      <c r="B65" t="s">
        <v>622</v>
      </c>
      <c r="C65">
        <v>4035</v>
      </c>
      <c r="D65" s="7">
        <v>634170.71999999951</v>
      </c>
      <c r="E65" s="7">
        <v>157.16746468401476</v>
      </c>
    </row>
    <row r="66" spans="1:5" x14ac:dyDescent="0.3">
      <c r="A66">
        <v>410043057</v>
      </c>
      <c r="B66" t="s">
        <v>623</v>
      </c>
      <c r="C66">
        <v>625</v>
      </c>
      <c r="D66" s="7">
        <v>87210.719999999987</v>
      </c>
      <c r="E66" s="7">
        <v>139.53715199999999</v>
      </c>
    </row>
    <row r="67" spans="1:5" x14ac:dyDescent="0.3">
      <c r="A67">
        <v>410043157</v>
      </c>
      <c r="B67" t="s">
        <v>624</v>
      </c>
      <c r="C67">
        <v>2507</v>
      </c>
      <c r="D67" s="7">
        <v>404852.75</v>
      </c>
      <c r="E67" s="7">
        <v>161.48893099321899</v>
      </c>
    </row>
    <row r="68" spans="1:5" x14ac:dyDescent="0.3">
      <c r="A68">
        <v>410060199</v>
      </c>
      <c r="B68" t="s">
        <v>625</v>
      </c>
      <c r="C68">
        <v>87</v>
      </c>
      <c r="D68" s="7">
        <v>19524.179999999997</v>
      </c>
      <c r="E68" s="7">
        <v>224.41586206896548</v>
      </c>
    </row>
    <row r="69" spans="1:5" x14ac:dyDescent="0.3">
      <c r="A69">
        <v>410060299</v>
      </c>
      <c r="B69" t="s">
        <v>626</v>
      </c>
      <c r="C69">
        <v>152</v>
      </c>
      <c r="D69" s="7">
        <v>31937.29</v>
      </c>
      <c r="E69" s="7">
        <v>210.11375000000001</v>
      </c>
    </row>
    <row r="70" spans="1:5" x14ac:dyDescent="0.3">
      <c r="A70">
        <v>410060399</v>
      </c>
      <c r="B70" t="s">
        <v>627</v>
      </c>
      <c r="C70">
        <v>126</v>
      </c>
      <c r="D70" s="7">
        <v>26770.58</v>
      </c>
      <c r="E70" s="7">
        <v>212.46492063492065</v>
      </c>
    </row>
    <row r="71" spans="1:5" x14ac:dyDescent="0.3">
      <c r="A71">
        <v>410060499</v>
      </c>
      <c r="B71" t="s">
        <v>628</v>
      </c>
      <c r="C71">
        <v>24</v>
      </c>
      <c r="D71" s="7">
        <v>5450.8499999999995</v>
      </c>
      <c r="E71" s="7">
        <v>227.11874999999998</v>
      </c>
    </row>
    <row r="72" spans="1:5" x14ac:dyDescent="0.3">
      <c r="A72">
        <v>410066399</v>
      </c>
      <c r="B72" t="s">
        <v>629</v>
      </c>
      <c r="C72">
        <v>14</v>
      </c>
      <c r="D72" s="7">
        <v>3441.7299999999996</v>
      </c>
      <c r="E72" s="7">
        <v>245.8378571428571</v>
      </c>
    </row>
    <row r="73" spans="1:5" x14ac:dyDescent="0.3">
      <c r="A73">
        <v>410075564</v>
      </c>
      <c r="B73" t="s">
        <v>630</v>
      </c>
      <c r="C73">
        <v>680</v>
      </c>
      <c r="D73" s="7">
        <v>80006.09</v>
      </c>
      <c r="E73" s="7">
        <v>117.65601470588234</v>
      </c>
    </row>
    <row r="74" spans="1:5" x14ac:dyDescent="0.3">
      <c r="A74">
        <v>410080004</v>
      </c>
      <c r="B74" t="s">
        <v>631</v>
      </c>
      <c r="C74">
        <v>449</v>
      </c>
      <c r="D74" s="7">
        <v>59658.889999999978</v>
      </c>
      <c r="E74" s="7">
        <v>132.87057906458793</v>
      </c>
    </row>
    <row r="75" spans="1:5" x14ac:dyDescent="0.3">
      <c r="A75">
        <v>410080024</v>
      </c>
      <c r="B75" t="s">
        <v>632</v>
      </c>
      <c r="C75">
        <v>1786</v>
      </c>
      <c r="D75" s="7">
        <v>182698.24000000002</v>
      </c>
      <c r="E75" s="7">
        <v>102.29464725643898</v>
      </c>
    </row>
    <row r="76" spans="1:5" x14ac:dyDescent="0.3">
      <c r="A76">
        <v>410080086</v>
      </c>
      <c r="B76" t="s">
        <v>633</v>
      </c>
      <c r="C76">
        <v>946</v>
      </c>
      <c r="D76" s="7">
        <v>110106.42999999996</v>
      </c>
      <c r="E76" s="7">
        <v>116.39157505285408</v>
      </c>
    </row>
    <row r="77" spans="1:5" x14ac:dyDescent="0.3">
      <c r="A77">
        <v>410080295</v>
      </c>
      <c r="B77" t="s">
        <v>634</v>
      </c>
      <c r="C77">
        <v>967</v>
      </c>
      <c r="D77" s="7">
        <v>135241.59</v>
      </c>
      <c r="E77" s="7">
        <v>139.85686659772492</v>
      </c>
    </row>
    <row r="78" spans="1:5" x14ac:dyDescent="0.3">
      <c r="A78">
        <v>410080395</v>
      </c>
      <c r="B78" t="s">
        <v>635</v>
      </c>
      <c r="C78">
        <v>304</v>
      </c>
      <c r="D78" s="7">
        <v>47437.439999999995</v>
      </c>
      <c r="E78" s="7">
        <v>156.04421052631577</v>
      </c>
    </row>
    <row r="79" spans="1:5" x14ac:dyDescent="0.3">
      <c r="A79">
        <v>410090260</v>
      </c>
      <c r="B79" t="s">
        <v>636</v>
      </c>
      <c r="C79">
        <v>3961</v>
      </c>
      <c r="D79" s="7">
        <v>550793.20999999985</v>
      </c>
      <c r="E79" s="7">
        <v>139.05407977783383</v>
      </c>
    </row>
    <row r="80" spans="1:5" x14ac:dyDescent="0.3">
      <c r="A80">
        <v>410100105</v>
      </c>
      <c r="B80" t="s">
        <v>637</v>
      </c>
      <c r="C80">
        <v>681</v>
      </c>
      <c r="D80" s="7">
        <v>65278.930000000015</v>
      </c>
      <c r="E80" s="7">
        <v>95.857459618208537</v>
      </c>
    </row>
    <row r="81" spans="1:5" x14ac:dyDescent="0.3">
      <c r="A81">
        <v>410100205</v>
      </c>
      <c r="B81" t="s">
        <v>638</v>
      </c>
      <c r="C81">
        <v>303</v>
      </c>
      <c r="D81" s="7">
        <v>27425.329999999991</v>
      </c>
      <c r="E81" s="7">
        <v>90.512640264026373</v>
      </c>
    </row>
    <row r="82" spans="1:5" x14ac:dyDescent="0.3">
      <c r="A82">
        <v>410100305</v>
      </c>
      <c r="B82" t="s">
        <v>639</v>
      </c>
      <c r="C82">
        <v>283</v>
      </c>
      <c r="D82" s="7">
        <v>25831.05999999999</v>
      </c>
      <c r="E82" s="7">
        <v>91.27583038869254</v>
      </c>
    </row>
    <row r="83" spans="1:5" x14ac:dyDescent="0.3">
      <c r="A83">
        <v>410120509</v>
      </c>
      <c r="B83" t="s">
        <v>640</v>
      </c>
      <c r="C83">
        <v>260</v>
      </c>
      <c r="D83" s="7">
        <v>28487.969999999994</v>
      </c>
      <c r="E83" s="7">
        <v>109.56911538461536</v>
      </c>
    </row>
    <row r="84" spans="1:5" x14ac:dyDescent="0.3">
      <c r="A84">
        <v>410121107</v>
      </c>
      <c r="B84" t="s">
        <v>641</v>
      </c>
      <c r="C84">
        <v>2134</v>
      </c>
      <c r="D84" s="7">
        <v>155073.01000000004</v>
      </c>
      <c r="E84" s="7">
        <v>72.667764761012208</v>
      </c>
    </row>
    <row r="85" spans="1:5" x14ac:dyDescent="0.3">
      <c r="A85">
        <v>410121207</v>
      </c>
      <c r="B85" t="s">
        <v>642</v>
      </c>
      <c r="C85">
        <v>2914</v>
      </c>
      <c r="D85" s="7">
        <v>217748.90000000005</v>
      </c>
      <c r="E85" s="7">
        <v>74.725085792724798</v>
      </c>
    </row>
    <row r="86" spans="1:5" x14ac:dyDescent="0.3">
      <c r="A86">
        <v>410121307</v>
      </c>
      <c r="B86" t="s">
        <v>643</v>
      </c>
      <c r="C86">
        <v>1782</v>
      </c>
      <c r="D86" s="7">
        <v>140286.49000000002</v>
      </c>
      <c r="E86" s="7">
        <v>78.72418069584738</v>
      </c>
    </row>
    <row r="87" spans="1:5" x14ac:dyDescent="0.3">
      <c r="A87">
        <v>410121509</v>
      </c>
      <c r="B87" t="s">
        <v>644</v>
      </c>
      <c r="C87">
        <v>65</v>
      </c>
      <c r="D87" s="7">
        <v>7364.3600000000006</v>
      </c>
      <c r="E87" s="7">
        <v>113.29784615384617</v>
      </c>
    </row>
    <row r="88" spans="1:5" x14ac:dyDescent="0.3">
      <c r="A88">
        <v>410250103</v>
      </c>
      <c r="B88" t="s">
        <v>645</v>
      </c>
      <c r="C88">
        <v>185</v>
      </c>
      <c r="D88" s="7">
        <v>10683.800000000001</v>
      </c>
      <c r="E88" s="7">
        <v>57.750270270270278</v>
      </c>
    </row>
    <row r="89" spans="1:5" x14ac:dyDescent="0.3">
      <c r="A89">
        <v>410250135</v>
      </c>
      <c r="B89" t="s">
        <v>646</v>
      </c>
      <c r="C89">
        <v>3155</v>
      </c>
      <c r="D89" s="7">
        <v>174743.99999999997</v>
      </c>
      <c r="E89" s="7">
        <v>55.386370839936596</v>
      </c>
    </row>
    <row r="90" spans="1:5" x14ac:dyDescent="0.3">
      <c r="A90">
        <v>410250935</v>
      </c>
      <c r="B90" t="s">
        <v>647</v>
      </c>
      <c r="C90">
        <v>1089</v>
      </c>
      <c r="D90" s="7">
        <v>58596</v>
      </c>
      <c r="E90" s="7">
        <v>53.807162534435264</v>
      </c>
    </row>
    <row r="91" spans="1:5" x14ac:dyDescent="0.3">
      <c r="A91">
        <v>410251135</v>
      </c>
      <c r="B91" t="s">
        <v>648</v>
      </c>
      <c r="C91">
        <v>275</v>
      </c>
      <c r="D91" s="7">
        <v>15720.6</v>
      </c>
      <c r="E91" s="7">
        <v>57.165818181818182</v>
      </c>
    </row>
    <row r="92" spans="1:5" x14ac:dyDescent="0.3">
      <c r="A92">
        <v>410251203</v>
      </c>
      <c r="B92" t="s">
        <v>649</v>
      </c>
      <c r="C92">
        <v>89</v>
      </c>
      <c r="D92" s="7">
        <v>5145.9599999999991</v>
      </c>
      <c r="E92" s="7">
        <v>57.819775280898867</v>
      </c>
    </row>
    <row r="93" spans="1:5" x14ac:dyDescent="0.3">
      <c r="A93">
        <v>410251235</v>
      </c>
      <c r="B93" t="s">
        <v>650</v>
      </c>
      <c r="C93">
        <v>2017</v>
      </c>
      <c r="D93" s="7">
        <v>111999.67999999996</v>
      </c>
      <c r="E93" s="7">
        <v>55.527853247397104</v>
      </c>
    </row>
    <row r="94" spans="1:5" x14ac:dyDescent="0.3">
      <c r="A94">
        <v>410251735</v>
      </c>
      <c r="B94" t="s">
        <v>651</v>
      </c>
      <c r="C94">
        <v>1849</v>
      </c>
      <c r="D94" s="7">
        <v>104044.39999999995</v>
      </c>
      <c r="E94" s="7">
        <v>56.270632774472659</v>
      </c>
    </row>
    <row r="95" spans="1:5" x14ac:dyDescent="0.3">
      <c r="A95">
        <v>410251835</v>
      </c>
      <c r="B95" t="s">
        <v>652</v>
      </c>
      <c r="C95">
        <v>1777</v>
      </c>
      <c r="D95" s="7">
        <v>86307.010000000024</v>
      </c>
      <c r="E95" s="7">
        <v>48.568942037141262</v>
      </c>
    </row>
    <row r="96" spans="1:5" x14ac:dyDescent="0.3">
      <c r="A96">
        <v>410252857</v>
      </c>
      <c r="B96" t="s">
        <v>653</v>
      </c>
      <c r="C96">
        <v>387</v>
      </c>
      <c r="D96" s="7">
        <v>10497.349999999997</v>
      </c>
      <c r="E96" s="7">
        <v>27.124935400516787</v>
      </c>
    </row>
    <row r="97" spans="1:5" x14ac:dyDescent="0.3">
      <c r="A97">
        <v>410252957</v>
      </c>
      <c r="B97" t="s">
        <v>654</v>
      </c>
      <c r="C97">
        <v>523</v>
      </c>
      <c r="D97" s="7">
        <v>14276.03</v>
      </c>
      <c r="E97" s="7">
        <v>27.296424474187383</v>
      </c>
    </row>
    <row r="98" spans="1:5" x14ac:dyDescent="0.3">
      <c r="A98">
        <v>410260057</v>
      </c>
      <c r="B98" t="s">
        <v>655</v>
      </c>
      <c r="C98">
        <v>1423</v>
      </c>
      <c r="D98" s="7">
        <v>242928.15</v>
      </c>
      <c r="E98" s="7">
        <v>170.71549543218552</v>
      </c>
    </row>
    <row r="99" spans="1:5" x14ac:dyDescent="0.3">
      <c r="A99">
        <v>410270138</v>
      </c>
      <c r="B99" t="s">
        <v>656</v>
      </c>
      <c r="C99">
        <v>391</v>
      </c>
      <c r="D99" s="7">
        <v>22296</v>
      </c>
      <c r="E99" s="7">
        <v>57.023017902813301</v>
      </c>
    </row>
    <row r="100" spans="1:5" x14ac:dyDescent="0.3">
      <c r="A100">
        <v>410270240</v>
      </c>
      <c r="B100" t="s">
        <v>657</v>
      </c>
      <c r="C100">
        <v>886</v>
      </c>
      <c r="D100" s="7">
        <v>51636.940000000017</v>
      </c>
      <c r="E100" s="7">
        <v>58.280970654627559</v>
      </c>
    </row>
    <row r="101" spans="1:5" x14ac:dyDescent="0.3">
      <c r="A101">
        <v>410270338</v>
      </c>
      <c r="B101" t="s">
        <v>658</v>
      </c>
      <c r="C101">
        <v>637</v>
      </c>
      <c r="D101" s="7">
        <v>34830.699999999997</v>
      </c>
      <c r="E101" s="7">
        <v>54.679277864992144</v>
      </c>
    </row>
    <row r="102" spans="1:5" x14ac:dyDescent="0.3">
      <c r="A102">
        <v>410272038</v>
      </c>
      <c r="B102" t="s">
        <v>659</v>
      </c>
      <c r="C102">
        <v>401</v>
      </c>
      <c r="D102" s="7">
        <v>22494.749999999996</v>
      </c>
      <c r="E102" s="7">
        <v>56.096633416458843</v>
      </c>
    </row>
    <row r="103" spans="1:5" x14ac:dyDescent="0.3">
      <c r="A103">
        <v>410272138</v>
      </c>
      <c r="B103" t="s">
        <v>660</v>
      </c>
      <c r="C103">
        <v>441</v>
      </c>
      <c r="D103" s="7">
        <v>26446.879999999997</v>
      </c>
      <c r="E103" s="7">
        <v>59.970249433106567</v>
      </c>
    </row>
    <row r="104" spans="1:5" x14ac:dyDescent="0.3">
      <c r="A104">
        <v>410312064</v>
      </c>
      <c r="B104" t="s">
        <v>661</v>
      </c>
      <c r="C104">
        <v>81</v>
      </c>
      <c r="D104" s="7">
        <v>27472.35999999999</v>
      </c>
      <c r="E104" s="7">
        <v>339.1649382716048</v>
      </c>
    </row>
    <row r="105" spans="1:5" x14ac:dyDescent="0.3">
      <c r="A105">
        <v>410312164</v>
      </c>
      <c r="B105" t="s">
        <v>662</v>
      </c>
      <c r="C105">
        <v>144</v>
      </c>
      <c r="D105" s="7">
        <v>43688.51</v>
      </c>
      <c r="E105" s="7">
        <v>303.39243055555556</v>
      </c>
    </row>
    <row r="106" spans="1:5" x14ac:dyDescent="0.3">
      <c r="A106">
        <v>410313462</v>
      </c>
      <c r="B106" t="s">
        <v>663</v>
      </c>
      <c r="C106">
        <v>694</v>
      </c>
      <c r="D106" s="7">
        <v>295024.04000000004</v>
      </c>
      <c r="E106" s="7">
        <v>425.10668587896259</v>
      </c>
    </row>
    <row r="107" spans="1:5" x14ac:dyDescent="0.3">
      <c r="A107">
        <v>410313464</v>
      </c>
      <c r="B107" t="s">
        <v>664</v>
      </c>
      <c r="C107">
        <v>1930</v>
      </c>
      <c r="D107" s="7">
        <v>492852.88999999996</v>
      </c>
      <c r="E107" s="7">
        <v>255.36419170984453</v>
      </c>
    </row>
    <row r="108" spans="1:5" x14ac:dyDescent="0.3">
      <c r="A108">
        <v>410313481</v>
      </c>
      <c r="B108" t="s">
        <v>665</v>
      </c>
      <c r="C108">
        <v>232</v>
      </c>
      <c r="D108" s="7">
        <v>45674.48</v>
      </c>
      <c r="E108" s="7">
        <v>196.87275862068967</v>
      </c>
    </row>
    <row r="109" spans="1:5" x14ac:dyDescent="0.3">
      <c r="A109">
        <v>410313499</v>
      </c>
      <c r="B109" t="s">
        <v>666</v>
      </c>
      <c r="C109">
        <v>282</v>
      </c>
      <c r="D109" s="7">
        <v>75749.600000000006</v>
      </c>
      <c r="E109" s="7">
        <v>268.61560283687948</v>
      </c>
    </row>
    <row r="110" spans="1:5" x14ac:dyDescent="0.3">
      <c r="A110">
        <v>410313562</v>
      </c>
      <c r="B110" t="s">
        <v>667</v>
      </c>
      <c r="C110">
        <v>504</v>
      </c>
      <c r="D110" s="7">
        <v>219413.66000000003</v>
      </c>
      <c r="E110" s="7">
        <v>435.34456349206357</v>
      </c>
    </row>
    <row r="111" spans="1:5" x14ac:dyDescent="0.3">
      <c r="A111">
        <v>410313564</v>
      </c>
      <c r="B111" t="s">
        <v>668</v>
      </c>
      <c r="C111">
        <v>962</v>
      </c>
      <c r="D111" s="7">
        <v>272470.33000000013</v>
      </c>
      <c r="E111" s="7">
        <v>283.23319126819143</v>
      </c>
    </row>
    <row r="112" spans="1:5" x14ac:dyDescent="0.3">
      <c r="A112">
        <v>410313581</v>
      </c>
      <c r="B112" t="s">
        <v>669</v>
      </c>
      <c r="C112">
        <v>123</v>
      </c>
      <c r="D112" s="7">
        <v>21144.45</v>
      </c>
      <c r="E112" s="7">
        <v>171.90609756097561</v>
      </c>
    </row>
    <row r="113" spans="1:5" x14ac:dyDescent="0.3">
      <c r="A113">
        <v>410313599</v>
      </c>
      <c r="B113" t="s">
        <v>670</v>
      </c>
      <c r="C113">
        <v>133</v>
      </c>
      <c r="D113" s="7">
        <v>36156.19</v>
      </c>
      <c r="E113" s="7">
        <v>271.85105263157897</v>
      </c>
    </row>
    <row r="114" spans="1:5" x14ac:dyDescent="0.3">
      <c r="A114">
        <v>410313662</v>
      </c>
      <c r="B114" t="s">
        <v>671</v>
      </c>
      <c r="C114">
        <v>584</v>
      </c>
      <c r="D114" s="7">
        <v>252309.13</v>
      </c>
      <c r="E114" s="7">
        <v>432.03618150684935</v>
      </c>
    </row>
    <row r="115" spans="1:5" x14ac:dyDescent="0.3">
      <c r="A115">
        <v>410313664</v>
      </c>
      <c r="B115" t="s">
        <v>672</v>
      </c>
      <c r="C115">
        <v>987</v>
      </c>
      <c r="D115" s="7">
        <v>215465.09</v>
      </c>
      <c r="E115" s="7">
        <v>218.30302938196556</v>
      </c>
    </row>
    <row r="116" spans="1:5" x14ac:dyDescent="0.3">
      <c r="A116">
        <v>410313681</v>
      </c>
      <c r="B116" t="s">
        <v>673</v>
      </c>
      <c r="C116">
        <v>44</v>
      </c>
      <c r="D116" s="7">
        <v>8063.4400000000005</v>
      </c>
      <c r="E116" s="7">
        <v>183.26000000000002</v>
      </c>
    </row>
    <row r="117" spans="1:5" x14ac:dyDescent="0.3">
      <c r="A117">
        <v>410313699</v>
      </c>
      <c r="B117" t="s">
        <v>674</v>
      </c>
      <c r="C117">
        <v>57</v>
      </c>
      <c r="D117" s="7">
        <v>15203.27</v>
      </c>
      <c r="E117" s="7">
        <v>266.7240350877193</v>
      </c>
    </row>
    <row r="118" spans="1:5" x14ac:dyDescent="0.3">
      <c r="A118">
        <v>410316564</v>
      </c>
      <c r="B118" t="s">
        <v>675</v>
      </c>
      <c r="C118">
        <v>1002</v>
      </c>
      <c r="D118" s="7">
        <v>290449.21000000008</v>
      </c>
      <c r="E118" s="7">
        <v>289.86947105788431</v>
      </c>
    </row>
    <row r="119" spans="1:5" x14ac:dyDescent="0.3">
      <c r="A119">
        <v>410316599</v>
      </c>
      <c r="B119" t="s">
        <v>676</v>
      </c>
      <c r="C119">
        <v>89</v>
      </c>
      <c r="D119" s="7">
        <v>24548.83</v>
      </c>
      <c r="E119" s="7">
        <v>275.82955056179776</v>
      </c>
    </row>
    <row r="120" spans="1:5" x14ac:dyDescent="0.3">
      <c r="A120">
        <v>410316664</v>
      </c>
      <c r="B120" t="s">
        <v>677</v>
      </c>
      <c r="C120">
        <v>202</v>
      </c>
      <c r="D120" s="7">
        <v>63837.049999999988</v>
      </c>
      <c r="E120" s="7">
        <v>316.02499999999992</v>
      </c>
    </row>
    <row r="121" spans="1:5" x14ac:dyDescent="0.3">
      <c r="A121">
        <v>410316964</v>
      </c>
      <c r="B121" t="s">
        <v>678</v>
      </c>
      <c r="C121">
        <v>1160</v>
      </c>
      <c r="D121" s="7">
        <v>313861.12</v>
      </c>
      <c r="E121" s="7">
        <v>270.56993103448275</v>
      </c>
    </row>
    <row r="122" spans="1:5" x14ac:dyDescent="0.3">
      <c r="A122">
        <v>410316999</v>
      </c>
      <c r="B122" t="s">
        <v>679</v>
      </c>
      <c r="C122">
        <v>99</v>
      </c>
      <c r="D122" s="7">
        <v>26246.819999999996</v>
      </c>
      <c r="E122" s="7">
        <v>265.11939393939389</v>
      </c>
    </row>
    <row r="123" spans="1:5" x14ac:dyDescent="0.3">
      <c r="A123">
        <v>410340057</v>
      </c>
      <c r="B123" t="s">
        <v>680</v>
      </c>
      <c r="C123">
        <v>781</v>
      </c>
      <c r="D123" s="7">
        <v>167996.37000000005</v>
      </c>
      <c r="E123" s="7">
        <v>215.10418693982081</v>
      </c>
    </row>
    <row r="124" spans="1:5" x14ac:dyDescent="0.3">
      <c r="A124">
        <v>410342157</v>
      </c>
      <c r="B124" t="s">
        <v>681</v>
      </c>
      <c r="C124">
        <v>314</v>
      </c>
      <c r="D124" s="7">
        <v>65222.05999999999</v>
      </c>
      <c r="E124" s="7">
        <v>207.71356687898086</v>
      </c>
    </row>
    <row r="125" spans="1:5" x14ac:dyDescent="0.3">
      <c r="A125">
        <v>410360287</v>
      </c>
      <c r="B125" t="s">
        <v>682</v>
      </c>
      <c r="C125">
        <v>553</v>
      </c>
      <c r="D125" s="7">
        <v>46736.770000000004</v>
      </c>
      <c r="E125" s="7">
        <v>84.514954792043412</v>
      </c>
    </row>
    <row r="126" spans="1:5" x14ac:dyDescent="0.3">
      <c r="A126">
        <v>410360387</v>
      </c>
      <c r="B126" t="s">
        <v>683</v>
      </c>
      <c r="C126">
        <v>143</v>
      </c>
      <c r="D126" s="7">
        <v>12139.93</v>
      </c>
      <c r="E126" s="7">
        <v>84.894615384615392</v>
      </c>
    </row>
    <row r="127" spans="1:5" x14ac:dyDescent="0.3">
      <c r="A127">
        <v>410361087</v>
      </c>
      <c r="B127" t="s">
        <v>684</v>
      </c>
      <c r="C127">
        <v>441</v>
      </c>
      <c r="D127" s="7">
        <v>37149.550000000003</v>
      </c>
      <c r="E127" s="7">
        <v>84.239342403628129</v>
      </c>
    </row>
    <row r="128" spans="1:5" x14ac:dyDescent="0.3">
      <c r="A128">
        <v>410425715</v>
      </c>
      <c r="B128" t="s">
        <v>685</v>
      </c>
      <c r="C128">
        <v>561</v>
      </c>
      <c r="D128" s="7">
        <v>71133.090000000011</v>
      </c>
      <c r="E128" s="7">
        <v>126.79695187165777</v>
      </c>
    </row>
    <row r="129" spans="1:5" x14ac:dyDescent="0.3">
      <c r="A129">
        <v>410425815</v>
      </c>
      <c r="B129" t="s">
        <v>686</v>
      </c>
      <c r="C129">
        <v>705</v>
      </c>
      <c r="D129" s="7">
        <v>123102.09000000003</v>
      </c>
      <c r="E129" s="7">
        <v>174.61289361702131</v>
      </c>
    </row>
    <row r="130" spans="1:5" x14ac:dyDescent="0.3">
      <c r="A130">
        <v>410426015</v>
      </c>
      <c r="B130" t="s">
        <v>687</v>
      </c>
      <c r="C130">
        <v>714</v>
      </c>
      <c r="D130" s="7">
        <v>119140.17000000001</v>
      </c>
      <c r="E130" s="7">
        <v>166.86298319327733</v>
      </c>
    </row>
    <row r="131" spans="1:5" x14ac:dyDescent="0.3">
      <c r="A131">
        <v>410430225</v>
      </c>
      <c r="B131" t="s">
        <v>688</v>
      </c>
      <c r="C131">
        <v>1402</v>
      </c>
      <c r="D131" s="7">
        <v>79528.37</v>
      </c>
      <c r="E131" s="7">
        <v>56.724942938659055</v>
      </c>
    </row>
    <row r="132" spans="1:5" x14ac:dyDescent="0.3">
      <c r="A132">
        <v>410436125</v>
      </c>
      <c r="B132" t="s">
        <v>689</v>
      </c>
      <c r="C132">
        <v>1624</v>
      </c>
      <c r="D132" s="7">
        <v>90833.080000000016</v>
      </c>
      <c r="E132" s="7">
        <v>55.931699507389176</v>
      </c>
    </row>
    <row r="133" spans="1:5" x14ac:dyDescent="0.3">
      <c r="A133">
        <v>415014749</v>
      </c>
      <c r="B133" t="s">
        <v>690</v>
      </c>
      <c r="C133">
        <v>12475</v>
      </c>
      <c r="D133" s="7">
        <v>881357.82000000018</v>
      </c>
      <c r="E133" s="7">
        <v>70.649925450901819</v>
      </c>
    </row>
    <row r="134" spans="1:5" x14ac:dyDescent="0.3">
      <c r="A134">
        <v>415015602</v>
      </c>
      <c r="B134" t="s">
        <v>691</v>
      </c>
      <c r="C134">
        <v>7128</v>
      </c>
      <c r="D134" s="7">
        <v>1076327.6200000006</v>
      </c>
      <c r="E134" s="7">
        <v>150.99994668911344</v>
      </c>
    </row>
    <row r="135" spans="1:5" x14ac:dyDescent="0.3">
      <c r="A135">
        <v>415025624</v>
      </c>
      <c r="B135" t="s">
        <v>109</v>
      </c>
      <c r="C135">
        <v>1311</v>
      </c>
      <c r="D135" s="7">
        <v>147893.97</v>
      </c>
      <c r="E135" s="7">
        <v>112.81004576659039</v>
      </c>
    </row>
    <row r="136" spans="1:5" x14ac:dyDescent="0.3">
      <c r="A136">
        <v>415026424</v>
      </c>
      <c r="B136" t="s">
        <v>98</v>
      </c>
      <c r="C136">
        <v>1524</v>
      </c>
      <c r="D136" s="7">
        <v>92904.7</v>
      </c>
      <c r="E136" s="7">
        <v>60.96108923884514</v>
      </c>
    </row>
    <row r="137" spans="1:5" x14ac:dyDescent="0.3">
      <c r="A137">
        <v>418025614</v>
      </c>
      <c r="B137" t="s">
        <v>692</v>
      </c>
      <c r="C137">
        <v>230</v>
      </c>
      <c r="D137" s="7">
        <v>8590.9</v>
      </c>
      <c r="E137" s="7">
        <v>37.35173913043478</v>
      </c>
    </row>
    <row r="138" spans="1:5" x14ac:dyDescent="0.3">
      <c r="A138">
        <v>419362187</v>
      </c>
      <c r="B138" t="s">
        <v>693</v>
      </c>
      <c r="C138">
        <v>10</v>
      </c>
      <c r="D138" s="7">
        <v>1137.4000000000001</v>
      </c>
      <c r="E138" s="7">
        <v>113.74000000000001</v>
      </c>
    </row>
    <row r="139" spans="1:5" x14ac:dyDescent="0.3">
      <c r="A139">
        <v>430030910</v>
      </c>
      <c r="B139" t="s">
        <v>694</v>
      </c>
      <c r="C139">
        <v>6</v>
      </c>
      <c r="D139" s="7">
        <v>436.26</v>
      </c>
      <c r="E139" s="7">
        <v>72.709999999999994</v>
      </c>
    </row>
    <row r="140" spans="1:5" x14ac:dyDescent="0.3">
      <c r="A140">
        <v>430031810</v>
      </c>
      <c r="B140" t="s">
        <v>695</v>
      </c>
      <c r="C140">
        <v>6</v>
      </c>
      <c r="D140" s="7">
        <v>261.60000000000002</v>
      </c>
      <c r="E140" s="7">
        <v>43.6</v>
      </c>
    </row>
    <row r="141" spans="1:5" x14ac:dyDescent="0.3">
      <c r="A141">
        <v>430120509</v>
      </c>
      <c r="B141" t="s">
        <v>640</v>
      </c>
      <c r="C141">
        <v>4</v>
      </c>
      <c r="D141" s="7">
        <v>208.04</v>
      </c>
      <c r="E141" s="7">
        <v>52.01</v>
      </c>
    </row>
    <row r="142" spans="1:5" x14ac:dyDescent="0.3">
      <c r="A142">
        <v>430312164</v>
      </c>
      <c r="B142" t="s">
        <v>432</v>
      </c>
      <c r="C142">
        <v>8</v>
      </c>
      <c r="D142" s="7">
        <v>662.08</v>
      </c>
      <c r="E142" s="7">
        <v>82.76</v>
      </c>
    </row>
    <row r="143" spans="1:5" x14ac:dyDescent="0.3">
      <c r="A143">
        <v>430313410</v>
      </c>
      <c r="B143" t="s">
        <v>696</v>
      </c>
      <c r="C143">
        <v>8</v>
      </c>
      <c r="D143" s="7">
        <v>838.4</v>
      </c>
      <c r="E143" s="7">
        <v>104.8</v>
      </c>
    </row>
    <row r="144" spans="1:5" x14ac:dyDescent="0.3">
      <c r="A144">
        <v>430313464</v>
      </c>
      <c r="B144" t="s">
        <v>697</v>
      </c>
      <c r="C144">
        <v>32</v>
      </c>
      <c r="D144" s="7">
        <v>2273.2800000000002</v>
      </c>
      <c r="E144" s="7">
        <v>71.040000000000006</v>
      </c>
    </row>
    <row r="145" spans="1:5" x14ac:dyDescent="0.3">
      <c r="A145">
        <v>430313564</v>
      </c>
      <c r="B145" t="s">
        <v>698</v>
      </c>
      <c r="C145">
        <v>16</v>
      </c>
      <c r="D145" s="7">
        <v>1136.6400000000001</v>
      </c>
      <c r="E145" s="7">
        <v>71.040000000000006</v>
      </c>
    </row>
    <row r="146" spans="1:5" x14ac:dyDescent="0.3">
      <c r="A146">
        <v>430313599</v>
      </c>
      <c r="B146" t="s">
        <v>699</v>
      </c>
      <c r="C146">
        <v>128</v>
      </c>
      <c r="D146" s="7">
        <v>4125.4399999999996</v>
      </c>
      <c r="E146" s="7">
        <v>32.229999999999997</v>
      </c>
    </row>
    <row r="147" spans="1:5" x14ac:dyDescent="0.3">
      <c r="A147">
        <v>430313664</v>
      </c>
      <c r="B147" t="s">
        <v>700</v>
      </c>
      <c r="C147">
        <v>12</v>
      </c>
      <c r="D147" s="7">
        <v>857.64</v>
      </c>
      <c r="E147" s="7">
        <v>71.47</v>
      </c>
    </row>
    <row r="148" spans="1:5" x14ac:dyDescent="0.3">
      <c r="A148">
        <v>430313681</v>
      </c>
      <c r="B148" t="s">
        <v>701</v>
      </c>
      <c r="C148">
        <v>32</v>
      </c>
      <c r="D148" s="7">
        <v>736.96</v>
      </c>
      <c r="E148" s="7">
        <v>23.03</v>
      </c>
    </row>
    <row r="149" spans="1:5" x14ac:dyDescent="0.3">
      <c r="A149">
        <v>430313699</v>
      </c>
      <c r="B149" t="s">
        <v>702</v>
      </c>
      <c r="C149">
        <v>40</v>
      </c>
      <c r="D149" s="7">
        <v>1297.2</v>
      </c>
      <c r="E149" s="7">
        <v>32.43</v>
      </c>
    </row>
    <row r="150" spans="1:5" x14ac:dyDescent="0.3">
      <c r="A150">
        <v>430314110</v>
      </c>
      <c r="B150" t="s">
        <v>703</v>
      </c>
      <c r="C150">
        <v>4</v>
      </c>
      <c r="D150" s="7">
        <v>419.2</v>
      </c>
      <c r="E150" s="7">
        <v>104.8</v>
      </c>
    </row>
    <row r="151" spans="1:5" x14ac:dyDescent="0.3">
      <c r="A151">
        <v>430316599</v>
      </c>
      <c r="B151" t="s">
        <v>704</v>
      </c>
      <c r="C151">
        <v>200</v>
      </c>
      <c r="D151" s="7">
        <v>6446</v>
      </c>
      <c r="E151" s="7">
        <v>32.229999999999997</v>
      </c>
    </row>
    <row r="152" spans="1:5" x14ac:dyDescent="0.3">
      <c r="A152">
        <v>430316910</v>
      </c>
      <c r="B152" t="s">
        <v>705</v>
      </c>
      <c r="C152">
        <v>4</v>
      </c>
      <c r="D152" s="7">
        <v>419.2</v>
      </c>
      <c r="E152" s="7">
        <v>104.8</v>
      </c>
    </row>
    <row r="153" spans="1:5" x14ac:dyDescent="0.3">
      <c r="A153">
        <v>430316999</v>
      </c>
      <c r="B153" t="s">
        <v>706</v>
      </c>
      <c r="C153">
        <v>72</v>
      </c>
      <c r="D153" s="7">
        <v>2334.96</v>
      </c>
      <c r="E153" s="7">
        <v>32.43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ADB75EDE6CA24D9907F62E3498CFFE" ma:contentTypeVersion="10" ma:contentTypeDescription="Crie um novo documento." ma:contentTypeScope="" ma:versionID="617f38d5ff96ccb16bd6e04738bf68cd">
  <xsd:schema xmlns:xsd="http://www.w3.org/2001/XMLSchema" xmlns:xs="http://www.w3.org/2001/XMLSchema" xmlns:p="http://schemas.microsoft.com/office/2006/metadata/properties" xmlns:ns2="f6c80a7e-4993-4462-a012-3c1269aac47c" xmlns:ns3="f88baae8-36af-435f-a319-d217fa9a6132" targetNamespace="http://schemas.microsoft.com/office/2006/metadata/properties" ma:root="true" ma:fieldsID="5a028d5195adfdeb01a913d34249087e" ns2:_="" ns3:_="">
    <xsd:import namespace="f6c80a7e-4993-4462-a012-3c1269aac47c"/>
    <xsd:import namespace="f88baae8-36af-435f-a319-d217fa9a6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80a7e-4993-4462-a012-3c1269aac4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6876cb72-2033-4903-b4f5-60d903753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8baae8-36af-435f-a319-d217fa9a613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ecb5f31-408a-4f69-bd63-e459b4044baa}" ma:internalName="TaxCatchAll" ma:showField="CatchAllData" ma:web="f88baae8-36af-435f-a319-d217fa9a6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c80a7e-4993-4462-a012-3c1269aac47c">
      <Terms xmlns="http://schemas.microsoft.com/office/infopath/2007/PartnerControls"/>
    </lcf76f155ced4ddcb4097134ff3c332f>
    <TaxCatchAll xmlns="f88baae8-36af-435f-a319-d217fa9a6132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8C788F-114C-49CE-BE07-C8BA83ACA2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c80a7e-4993-4462-a012-3c1269aac47c"/>
    <ds:schemaRef ds:uri="f88baae8-36af-435f-a319-d217fa9a6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81EDE2-C1B1-4353-97DC-4DBA54B7B0B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EE24530-952D-4CCF-AD71-5B6B5A59489F}">
  <ds:schemaRefs>
    <ds:schemaRef ds:uri="http://schemas.microsoft.com/office/2006/metadata/properties"/>
    <ds:schemaRef ds:uri="http://schemas.microsoft.com/office/infopath/2007/PartnerControls"/>
    <ds:schemaRef ds:uri="f6c80a7e-4993-4462-a012-3c1269aac47c"/>
    <ds:schemaRef ds:uri="f88baae8-36af-435f-a319-d217fa9a6132"/>
  </ds:schemaRefs>
</ds:datastoreItem>
</file>

<file path=customXml/itemProps4.xml><?xml version="1.0" encoding="utf-8"?>
<ds:datastoreItem xmlns:ds="http://schemas.openxmlformats.org/officeDocument/2006/customXml" ds:itemID="{4DF68C44-BCD8-4D3D-8F82-5ABE12F397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Previsão CX</vt:lpstr>
      <vt:lpstr>Conversão</vt:lpstr>
      <vt:lpstr>Cadastro</vt:lpstr>
      <vt:lpstr>PMV</vt:lpstr>
      <vt:lpstr>'Previsão CX'!Titulos_de_impressao</vt:lpstr>
    </vt:vector>
  </TitlesOfParts>
  <Manager/>
  <Company>Eic do Brasil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Almeida</dc:creator>
  <cp:keywords/>
  <dc:description/>
  <cp:lastModifiedBy>Phillipe Democh da Silva</cp:lastModifiedBy>
  <cp:revision/>
  <dcterms:created xsi:type="dcterms:W3CDTF">2011-08-12T18:29:05Z</dcterms:created>
  <dcterms:modified xsi:type="dcterms:W3CDTF">2026-08-11T11:46:50Z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0x01010077ADB75EDE6CA24D9907F62E3498CFFE</vt:lpwstr>
  </property>
  <property fmtid="{D5CDD505-2E9C-101B-9397-08002B2CF9AE}" pid="3" name="MediaServiceImageTags">
    <vt:lpwstr/>
  </property>
</Properties>
</file>